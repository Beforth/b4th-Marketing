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VARNA PALDE\USER DATA\Desktop\All formats\"/>
    </mc:Choice>
  </mc:AlternateContent>
  <bookViews>
    <workbookView xWindow="0" yWindow="0" windowWidth="20490" windowHeight="7035"/>
  </bookViews>
  <sheets>
    <sheet name="PO Details" sheetId="8" r:id="rId1"/>
    <sheet name="Sheet1" sheetId="9" r:id="rId2"/>
    <sheet name="Legends" sheetId="7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" i="9" l="1"/>
  <c r="AJ23" i="9" l="1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O20" i="9" s="1"/>
  <c r="AL21" i="9"/>
  <c r="AL22" i="9"/>
  <c r="AL23" i="9"/>
  <c r="R19" i="9"/>
  <c r="AO19" i="9" s="1"/>
  <c r="R20" i="9"/>
  <c r="R21" i="9"/>
  <c r="R22" i="9"/>
  <c r="AO22" i="9" s="1"/>
  <c r="R23" i="9"/>
  <c r="AO23" i="9" s="1"/>
  <c r="AO21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E25" i="9" l="1"/>
  <c r="AE23" i="9"/>
  <c r="AE24" i="9"/>
  <c r="U23" i="9"/>
  <c r="U24" i="9"/>
  <c r="U25" i="9"/>
  <c r="P23" i="9"/>
  <c r="P24" i="9"/>
  <c r="P25" i="9"/>
  <c r="L25" i="9"/>
  <c r="L24" i="9"/>
  <c r="Z23" i="9"/>
  <c r="L23" i="9"/>
  <c r="L20" i="9" l="1"/>
  <c r="L22" i="9"/>
  <c r="P17" i="9"/>
  <c r="AE22" i="9"/>
  <c r="Z22" i="9"/>
  <c r="U22" i="9"/>
  <c r="P22" i="9"/>
  <c r="AE21" i="9"/>
  <c r="Z21" i="9"/>
  <c r="U21" i="9"/>
  <c r="AE20" i="9"/>
  <c r="Z20" i="9"/>
  <c r="U20" i="9"/>
  <c r="P20" i="9"/>
  <c r="AE19" i="9"/>
  <c r="Z19" i="9"/>
  <c r="U19" i="9"/>
  <c r="P19" i="9"/>
  <c r="L19" i="9"/>
  <c r="AG18" i="9"/>
  <c r="AE18" i="9"/>
  <c r="AB18" i="9"/>
  <c r="Z18" i="9"/>
  <c r="W18" i="9"/>
  <c r="U18" i="9"/>
  <c r="R18" i="9"/>
  <c r="AO18" i="9" s="1"/>
  <c r="P18" i="9"/>
  <c r="L18" i="9"/>
  <c r="AG17" i="9"/>
  <c r="AE17" i="9"/>
  <c r="AB17" i="9"/>
  <c r="Z17" i="9"/>
  <c r="W17" i="9"/>
  <c r="AO17" i="9"/>
  <c r="L17" i="9"/>
  <c r="AO16" i="9"/>
  <c r="AG16" i="9"/>
  <c r="AE16" i="9"/>
  <c r="AB16" i="9"/>
  <c r="Z16" i="9"/>
  <c r="W16" i="9"/>
  <c r="U16" i="9"/>
  <c r="R16" i="9"/>
  <c r="P16" i="9"/>
  <c r="L16" i="9"/>
  <c r="AO15" i="9"/>
  <c r="AG15" i="9"/>
  <c r="AE15" i="9"/>
  <c r="AB15" i="9"/>
  <c r="Z15" i="9"/>
  <c r="W15" i="9"/>
  <c r="U15" i="9"/>
  <c r="R15" i="9"/>
  <c r="P15" i="9"/>
  <c r="L15" i="9"/>
  <c r="AO14" i="9"/>
  <c r="AG14" i="9"/>
  <c r="AE14" i="9"/>
  <c r="AB14" i="9"/>
  <c r="Z14" i="9"/>
  <c r="W14" i="9"/>
  <c r="U14" i="9"/>
  <c r="R14" i="9"/>
  <c r="P14" i="9"/>
  <c r="L14" i="9"/>
  <c r="AO13" i="9"/>
  <c r="AG13" i="9"/>
  <c r="AE13" i="9"/>
  <c r="AB13" i="9"/>
  <c r="Z13" i="9"/>
  <c r="W13" i="9"/>
  <c r="U13" i="9"/>
  <c r="R13" i="9"/>
  <c r="P13" i="9"/>
  <c r="L13" i="9"/>
  <c r="AN12" i="9"/>
  <c r="AG12" i="9"/>
  <c r="AE12" i="9"/>
  <c r="AB12" i="9"/>
  <c r="Z12" i="9"/>
  <c r="W12" i="9"/>
  <c r="AO12" i="9" s="1"/>
  <c r="U12" i="9"/>
  <c r="R12" i="9"/>
  <c r="P12" i="9"/>
  <c r="L12" i="9"/>
  <c r="AN11" i="9"/>
  <c r="AG11" i="9"/>
  <c r="AE11" i="9"/>
  <c r="AB11" i="9"/>
  <c r="Z11" i="9"/>
  <c r="W11" i="9"/>
  <c r="AO11" i="9" s="1"/>
  <c r="U11" i="9"/>
  <c r="P11" i="9"/>
  <c r="L11" i="9"/>
  <c r="AN10" i="9"/>
  <c r="AG10" i="9"/>
  <c r="AE10" i="9"/>
  <c r="AB10" i="9"/>
  <c r="Z10" i="9"/>
  <c r="W10" i="9"/>
  <c r="U10" i="9"/>
  <c r="R10" i="9"/>
  <c r="AO10" i="9" s="1"/>
  <c r="P10" i="9"/>
  <c r="L10" i="9"/>
  <c r="AN9" i="9"/>
  <c r="AJ9" i="9"/>
  <c r="AG9" i="9"/>
  <c r="AE9" i="9"/>
  <c r="AB9" i="9"/>
  <c r="Z9" i="9"/>
  <c r="W9" i="9"/>
  <c r="U9" i="9"/>
  <c r="R9" i="9"/>
  <c r="AO9" i="9" s="1"/>
  <c r="P9" i="9"/>
  <c r="L9" i="9"/>
  <c r="AN8" i="9"/>
  <c r="AJ8" i="9"/>
  <c r="AG8" i="9"/>
  <c r="AE8" i="9"/>
  <c r="AB8" i="9"/>
  <c r="Z8" i="9"/>
  <c r="W8" i="9"/>
  <c r="U8" i="9"/>
  <c r="R8" i="9"/>
  <c r="AO8" i="9" s="1"/>
  <c r="P8" i="9"/>
  <c r="L8" i="9"/>
  <c r="AN7" i="9"/>
  <c r="AJ7" i="9"/>
  <c r="AG7" i="9"/>
  <c r="AE7" i="9"/>
  <c r="AB7" i="9"/>
  <c r="W7" i="9"/>
  <c r="AO7" i="9" s="1"/>
  <c r="U7" i="9"/>
  <c r="R7" i="9"/>
  <c r="P7" i="9"/>
  <c r="L7" i="9"/>
  <c r="AN6" i="9"/>
  <c r="AL6" i="9"/>
  <c r="AJ6" i="9"/>
  <c r="AG6" i="9"/>
  <c r="AE6" i="9"/>
  <c r="AB6" i="9"/>
  <c r="Z6" i="9"/>
  <c r="W6" i="9"/>
  <c r="U6" i="9"/>
  <c r="R6" i="9"/>
  <c r="AO6" i="9" s="1"/>
  <c r="P6" i="9"/>
  <c r="AN6" i="8" l="1"/>
  <c r="AL6" i="8"/>
  <c r="AJ6" i="8"/>
  <c r="AG6" i="8"/>
  <c r="AE6" i="8"/>
  <c r="AB6" i="8"/>
  <c r="Z6" i="8"/>
  <c r="W6" i="8"/>
  <c r="U6" i="8"/>
  <c r="R6" i="8"/>
  <c r="P6" i="8"/>
  <c r="AO6" i="8" l="1"/>
</calcChain>
</file>

<file path=xl/sharedStrings.xml><?xml version="1.0" encoding="utf-8"?>
<sst xmlns="http://schemas.openxmlformats.org/spreadsheetml/2006/main" count="271" uniqueCount="104">
  <si>
    <t>Sr. No.</t>
  </si>
  <si>
    <t>Region</t>
  </si>
  <si>
    <t>Cordinator</t>
  </si>
  <si>
    <t>Order Generation Details</t>
  </si>
  <si>
    <t>Here we can mention how we get the order. Enquiry through / how we did it / something like that</t>
  </si>
  <si>
    <t>PO Date</t>
  </si>
  <si>
    <t>PO Acceptance Date</t>
  </si>
  <si>
    <t>PayR-01</t>
  </si>
  <si>
    <t>PayR-02</t>
  </si>
  <si>
    <t>PayR-03</t>
  </si>
  <si>
    <t>PayR-04</t>
  </si>
  <si>
    <t>PayR-05</t>
  </si>
  <si>
    <t>Amount (%)</t>
  </si>
  <si>
    <t>WO Date</t>
  </si>
  <si>
    <t>Total</t>
  </si>
  <si>
    <t>Responsible Marketing Person</t>
  </si>
  <si>
    <t>Received Date</t>
  </si>
  <si>
    <t>PO Number</t>
  </si>
  <si>
    <t>Company</t>
  </si>
  <si>
    <t>Amount value</t>
  </si>
  <si>
    <t>Payment Received</t>
  </si>
  <si>
    <t>Agreed (as per PO)</t>
  </si>
  <si>
    <t>Received</t>
  </si>
  <si>
    <t>as per PO</t>
  </si>
  <si>
    <t>actual received</t>
  </si>
  <si>
    <t>Order is for (Stabilty / TT / …)</t>
  </si>
  <si>
    <t>Formula set (do not enter the values)</t>
  </si>
  <si>
    <t>South-1</t>
  </si>
  <si>
    <t xml:space="preserve">Covalent Laboratories Pvt Ltd </t>
  </si>
  <si>
    <t xml:space="preserve">Stabilty </t>
  </si>
  <si>
    <t xml:space="preserve">Mr.Dnyaneshwar Gaikwad received the enquiry bcz of some issues Harshal sir continue this communication &amp; received  the order </t>
  </si>
  <si>
    <t>Mr.Harshal Ghoge /Mr.Dnyaneshwar Gaikwad</t>
  </si>
  <si>
    <t>Shubhangi</t>
  </si>
  <si>
    <t xml:space="preserve">Goa </t>
  </si>
  <si>
    <t>Ramnath Enterprises</t>
  </si>
  <si>
    <t>Received through Ramnath Enterprises</t>
  </si>
  <si>
    <t>12/RE/APPL/ASH2025-26PUR</t>
  </si>
  <si>
    <t>Mr.Hrashal Ghoge/ Mr.Rohit Kokate</t>
  </si>
  <si>
    <t>HVAX</t>
  </si>
  <si>
    <t xml:space="preserve">Mr.Rohit Badgujar has generated this enquiry &amp; Harshal sir &amp; Rohit both are in touch with them </t>
  </si>
  <si>
    <t>HVAX/PO/25-26/0111</t>
  </si>
  <si>
    <t>Mr.Hrashal Ghoge/ Mr.Rohit Badgujar</t>
  </si>
  <si>
    <t>HVAX/PO/25-26/0112</t>
  </si>
  <si>
    <t>Probio scientific</t>
  </si>
  <si>
    <t>PROBIO/004/25-26</t>
  </si>
  <si>
    <t xml:space="preserve">Mr.Hemnath Yadav </t>
  </si>
  <si>
    <t>Mr. Dnyaneshwar Gaikwad received the enquiry, but as he is on leave, I (Shubhangi) handover the enquiry to Hemnath, who subsequently finalized it and received the Purchase Order (PO).</t>
  </si>
  <si>
    <t>MP</t>
  </si>
  <si>
    <t>Eris Bionxt Pvt Ltd</t>
  </si>
  <si>
    <t>Mr.Kiran Aher Sir</t>
  </si>
  <si>
    <t>Mr.Kiran Aher</t>
  </si>
  <si>
    <t xml:space="preserve">North </t>
  </si>
  <si>
    <t>Dabur India Ltd</t>
  </si>
  <si>
    <t>Mr.Vikrant Deshpande</t>
  </si>
  <si>
    <t>Suvarna</t>
  </si>
  <si>
    <t>MH</t>
  </si>
  <si>
    <t>Advanced Enzymes</t>
  </si>
  <si>
    <t>Mr. Kiran Aher</t>
  </si>
  <si>
    <t>00</t>
  </si>
  <si>
    <t>North</t>
  </si>
  <si>
    <t>ABC</t>
  </si>
  <si>
    <t>Stabilty + Sampler + Table Top</t>
  </si>
  <si>
    <t>Mr. Rushikesh has visited and later Mr. Vikrant has taken it ahead</t>
  </si>
  <si>
    <t>Rushikesh</t>
  </si>
  <si>
    <t>Month</t>
  </si>
  <si>
    <t>PO Value (Without GST)</t>
  </si>
  <si>
    <t xml:space="preserve">GST </t>
  </si>
  <si>
    <t>Macleods Pharmaceuticals</t>
  </si>
  <si>
    <t>Mr Rohan G received the inquiry on mail. Mr Vikrant has taken it ahead.Bipin Sir done the final meeting</t>
  </si>
  <si>
    <t>Mr.Aakant has visited &amp; mail recived on inquiry mail id,as he was outdoor, rohit badgujar gave the visit. Final call done with aher sir since there was inquiry for  autoclave also.</t>
  </si>
  <si>
    <t>Mr.Vikrant Deshpande has generated inquiry by visit &amp; closed the order himself.</t>
  </si>
  <si>
    <t>Brawn Laboratories Limited</t>
  </si>
  <si>
    <t>Exemed Pharmaceuticals</t>
  </si>
  <si>
    <t>Om Electrical</t>
  </si>
  <si>
    <t>Sevenshine</t>
  </si>
  <si>
    <t>EMV/2526/POS/CGO/00058</t>
  </si>
  <si>
    <t>PO/BO/G/25-2604/012</t>
  </si>
  <si>
    <t>EMV/2526/POS/CGO/00050</t>
  </si>
  <si>
    <t>Mr. Rohan Gujarathi</t>
  </si>
  <si>
    <t>Mr. Yash Gujarathi</t>
  </si>
  <si>
    <t>Mr. Rohit Badgujar</t>
  </si>
  <si>
    <t>OEES/PO/13</t>
  </si>
  <si>
    <t>West-02</t>
  </si>
  <si>
    <t>Oneiro Lifecare Private Limited</t>
  </si>
  <si>
    <t>CAP/PO/25-26/0001</t>
  </si>
  <si>
    <t>Mr Yash received the inquiry. Mr Kiran Aher had done the meeting.Aher Sir &amp; Yash both are in touch with them</t>
  </si>
  <si>
    <t>Mr Rohan G generated the inquiry. Rohan Sir &amp; Vikrant Sir done the meeting at Gurgaon  HQ. Rohan Sir followed up &amp; closed the order.</t>
  </si>
  <si>
    <t>Mr.Vikrant Deshpande  generated the  inquiry &amp; closed the order himself.</t>
  </si>
  <si>
    <t>Mr Yash had received the inquiry &amp; he finalized the order</t>
  </si>
  <si>
    <t>Mr.Rohit Badgujar received the enquiry &amp; finalized it</t>
  </si>
  <si>
    <t>SSPM/04/25/Machineries</t>
  </si>
  <si>
    <t>Elvia Care Private Limited</t>
  </si>
  <si>
    <t>Aurobindo Pharma - Unit 4</t>
  </si>
  <si>
    <t>Mr.Harshal Ghoge has finalised this order</t>
  </si>
  <si>
    <t>Mr.Harshal Ghoge</t>
  </si>
  <si>
    <t>Mr.Hemnath Yadav generated the enquiry &amp; finalised by Mr.Dnyaneshwar Gaikwad</t>
  </si>
  <si>
    <t>Mr.Dnyaneshwar Gaikwad</t>
  </si>
  <si>
    <t>PROBIO/005</t>
  </si>
  <si>
    <t xml:space="preserve"> </t>
  </si>
  <si>
    <t>Mr Kiran Aher said to visit their plant.Mr. Rushikesh visited the plant, collected the enquiry, and handled everything until it was finalized. Harshal Sir gave the final call</t>
  </si>
  <si>
    <t>Mr Rushikesh Chaure</t>
  </si>
  <si>
    <t>South Export</t>
  </si>
  <si>
    <t>HOA Viet Co Ltd</t>
  </si>
  <si>
    <t>Mr.Rohit Badgujar has finalised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</si>
</sst>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0" fillId="8" borderId="0" xfId="0" applyFill="1"/>
    <xf numFmtId="0" fontId="1" fillId="0" borderId="1" xfId="0" applyFont="1" applyBorder="1" applyAlignment="1">
      <alignment horizontal="left" vertical="center" wrapText="1"/>
    </xf>
    <xf numFmtId="9" fontId="1" fillId="8" borderId="1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9" fontId="1" fillId="2" borderId="0" xfId="0" applyNumberFormat="1" applyFont="1" applyFill="1" applyAlignment="1">
      <alignment horizontal="left" vertical="center"/>
    </xf>
    <xf numFmtId="9" fontId="1" fillId="2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7" fontId="1" fillId="0" borderId="1" xfId="0" quotePrefix="1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left" vertical="center"/>
    </xf>
    <xf numFmtId="0" fontId="0" fillId="0" borderId="1" xfId="0" applyFill="1" applyBorder="1"/>
    <xf numFmtId="0" fontId="0" fillId="0" borderId="3" xfId="0" applyFill="1" applyBorder="1"/>
    <xf numFmtId="0" fontId="0" fillId="0" borderId="1" xfId="0" applyFont="1" applyBorder="1" applyAlignment="1">
      <alignment horizontal="left"/>
    </xf>
    <xf numFmtId="0" fontId="0" fillId="0" borderId="6" xfId="0" applyFill="1" applyBorder="1"/>
    <xf numFmtId="0" fontId="0" fillId="0" borderId="1" xfId="0" applyBorder="1"/>
    <xf numFmtId="0" fontId="0" fillId="0" borderId="2" xfId="0" applyBorder="1"/>
    <xf numFmtId="0" fontId="0" fillId="0" borderId="7" xfId="0" applyBorder="1"/>
    <xf numFmtId="10" fontId="1" fillId="0" borderId="1" xfId="0" applyNumberFormat="1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left" vertical="center"/>
    </xf>
    <xf numFmtId="0" fontId="0" fillId="0" borderId="4" xfId="0" applyFill="1" applyBorder="1"/>
    <xf numFmtId="0" fontId="1" fillId="9" borderId="1" xfId="0" applyFont="1" applyFill="1" applyBorder="1" applyAlignment="1">
      <alignment horizontal="left" vertical="center"/>
    </xf>
    <xf numFmtId="17" fontId="1" fillId="9" borderId="1" xfId="0" applyNumberFormat="1" applyFont="1" applyFill="1" applyBorder="1" applyAlignment="1">
      <alignment horizontal="left" vertical="center"/>
    </xf>
    <xf numFmtId="0" fontId="0" fillId="9" borderId="1" xfId="0" applyFill="1" applyBorder="1"/>
    <xf numFmtId="0" fontId="1" fillId="9" borderId="1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left" vertical="center"/>
    </xf>
    <xf numFmtId="15" fontId="1" fillId="9" borderId="1" xfId="0" applyNumberFormat="1" applyFont="1" applyFill="1" applyBorder="1" applyAlignment="1">
      <alignment horizontal="left" vertical="center"/>
    </xf>
    <xf numFmtId="9" fontId="1" fillId="9" borderId="1" xfId="0" applyNumberFormat="1" applyFont="1" applyFill="1" applyBorder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3"/>
  <sheetViews>
    <sheetView tabSelected="1" workbookViewId="0">
      <pane ySplit="4" topLeftCell="A29" activePane="bottomLeft" state="frozen"/>
      <selection activeCell="H1" sqref="H1"/>
      <selection pane="bottomLeft" activeCell="F56" sqref="F56"/>
    </sheetView>
  </sheetViews>
  <sheetFormatPr defaultRowHeight="12.75" x14ac:dyDescent="0.25"/>
  <cols>
    <col min="1" max="1" width="8.140625" style="1" bestFit="1" customWidth="1"/>
    <col min="2" max="2" width="8.140625" style="1" customWidth="1"/>
    <col min="3" max="3" width="11.28515625" style="1" bestFit="1" customWidth="1"/>
    <col min="4" max="4" width="38.85546875" style="1" customWidth="1"/>
    <col min="5" max="5" width="19.140625" style="1" customWidth="1"/>
    <col min="6" max="6" width="77.28515625" style="1" customWidth="1"/>
    <col min="7" max="7" width="27" style="1" bestFit="1" customWidth="1"/>
    <col min="8" max="8" width="39.7109375" style="1" bestFit="1" customWidth="1"/>
    <col min="9" max="9" width="14.42578125" style="1" customWidth="1"/>
    <col min="10" max="10" width="21.28515625" style="1" customWidth="1"/>
    <col min="11" max="11" width="26" style="1" bestFit="1" customWidth="1"/>
    <col min="12" max="12" width="10.85546875" style="1" customWidth="1"/>
    <col min="13" max="13" width="22.85546875" style="1" bestFit="1" customWidth="1"/>
    <col min="14" max="14" width="11.85546875" style="1" bestFit="1" customWidth="1"/>
    <col min="15" max="16" width="14.7109375" style="1" bestFit="1" customWidth="1"/>
    <col min="17" max="17" width="12.85546875" style="1" bestFit="1" customWidth="1"/>
    <col min="18" max="18" width="14.7109375" style="1" bestFit="1" customWidth="1"/>
    <col min="19" max="19" width="16.28515625" style="1" bestFit="1" customWidth="1"/>
    <col min="20" max="20" width="12.85546875" style="1" bestFit="1" customWidth="1"/>
    <col min="21" max="21" width="14.7109375" style="1" bestFit="1" customWidth="1"/>
    <col min="22" max="22" width="12.85546875" style="1" bestFit="1" customWidth="1"/>
    <col min="23" max="23" width="14.7109375" style="1" bestFit="1" customWidth="1"/>
    <col min="24" max="24" width="16.28515625" style="1" bestFit="1" customWidth="1"/>
    <col min="25" max="25" width="12.85546875" style="1" bestFit="1" customWidth="1"/>
    <col min="26" max="26" width="14.7109375" style="1" bestFit="1" customWidth="1"/>
    <col min="27" max="27" width="12.85546875" style="1" bestFit="1" customWidth="1"/>
    <col min="28" max="28" width="14.7109375" style="1" bestFit="1" customWidth="1"/>
    <col min="29" max="29" width="16.28515625" style="1" bestFit="1" customWidth="1"/>
    <col min="30" max="30" width="12.85546875" style="1" bestFit="1" customWidth="1"/>
    <col min="31" max="31" width="14.7109375" style="1" bestFit="1" customWidth="1"/>
    <col min="32" max="32" width="12.85546875" style="1" bestFit="1" customWidth="1"/>
    <col min="33" max="33" width="14.7109375" style="1" bestFit="1" customWidth="1"/>
    <col min="34" max="34" width="16.28515625" style="1" bestFit="1" customWidth="1"/>
    <col min="35" max="35" width="12.85546875" style="1" bestFit="1" customWidth="1"/>
    <col min="36" max="36" width="14.7109375" style="1" bestFit="1" customWidth="1"/>
    <col min="37" max="37" width="12.85546875" style="1" bestFit="1" customWidth="1"/>
    <col min="38" max="38" width="14.7109375" style="1" bestFit="1" customWidth="1"/>
    <col min="39" max="39" width="16.28515625" style="1" bestFit="1" customWidth="1"/>
    <col min="40" max="40" width="13.85546875" style="1" customWidth="1"/>
    <col min="41" max="41" width="14.7109375" style="1" bestFit="1" customWidth="1"/>
    <col min="42" max="16384" width="9.140625" style="1"/>
  </cols>
  <sheetData>
    <row r="1" spans="1:41" s="2" customFormat="1" ht="15" x14ac:dyDescent="0.25">
      <c r="A1" s="44" t="s">
        <v>0</v>
      </c>
      <c r="B1" s="44" t="s">
        <v>64</v>
      </c>
      <c r="C1" s="44" t="s">
        <v>1</v>
      </c>
      <c r="D1" s="44" t="s">
        <v>18</v>
      </c>
      <c r="E1" s="49" t="s">
        <v>25</v>
      </c>
      <c r="F1" s="44" t="s">
        <v>3</v>
      </c>
      <c r="G1" s="44" t="s">
        <v>17</v>
      </c>
      <c r="H1" s="44" t="s">
        <v>15</v>
      </c>
      <c r="I1" s="44" t="s">
        <v>2</v>
      </c>
      <c r="J1" s="44" t="s">
        <v>5</v>
      </c>
      <c r="K1" s="49" t="s">
        <v>65</v>
      </c>
      <c r="L1" s="44" t="s">
        <v>66</v>
      </c>
      <c r="M1" s="44" t="s">
        <v>6</v>
      </c>
      <c r="N1" s="44" t="s">
        <v>13</v>
      </c>
      <c r="O1" s="52" t="s">
        <v>20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4"/>
    </row>
    <row r="2" spans="1:41" s="2" customFormat="1" ht="15" x14ac:dyDescent="0.25">
      <c r="A2" s="45"/>
      <c r="B2" s="45"/>
      <c r="C2" s="45"/>
      <c r="D2" s="45"/>
      <c r="E2" s="50"/>
      <c r="F2" s="45"/>
      <c r="G2" s="45"/>
      <c r="H2" s="45"/>
      <c r="I2" s="45"/>
      <c r="J2" s="45"/>
      <c r="K2" s="50"/>
      <c r="L2" s="45"/>
      <c r="M2" s="45"/>
      <c r="N2" s="45"/>
      <c r="O2" s="41" t="s">
        <v>7</v>
      </c>
      <c r="P2" s="41"/>
      <c r="Q2" s="41"/>
      <c r="R2" s="41"/>
      <c r="S2" s="41"/>
      <c r="T2" s="40" t="s">
        <v>8</v>
      </c>
      <c r="U2" s="40"/>
      <c r="V2" s="40"/>
      <c r="W2" s="40"/>
      <c r="X2" s="40"/>
      <c r="Y2" s="41" t="s">
        <v>9</v>
      </c>
      <c r="Z2" s="41"/>
      <c r="AA2" s="41"/>
      <c r="AB2" s="41"/>
      <c r="AC2" s="41"/>
      <c r="AD2" s="40" t="s">
        <v>10</v>
      </c>
      <c r="AE2" s="40"/>
      <c r="AF2" s="40"/>
      <c r="AG2" s="40"/>
      <c r="AH2" s="40"/>
      <c r="AI2" s="41" t="s">
        <v>11</v>
      </c>
      <c r="AJ2" s="41"/>
      <c r="AK2" s="41"/>
      <c r="AL2" s="41"/>
      <c r="AM2" s="41"/>
      <c r="AN2" s="47" t="s">
        <v>14</v>
      </c>
      <c r="AO2" s="48"/>
    </row>
    <row r="3" spans="1:41" s="2" customFormat="1" ht="15" x14ac:dyDescent="0.25">
      <c r="A3" s="45"/>
      <c r="B3" s="45"/>
      <c r="C3" s="45"/>
      <c r="D3" s="45"/>
      <c r="E3" s="50"/>
      <c r="F3" s="45"/>
      <c r="G3" s="45"/>
      <c r="H3" s="45"/>
      <c r="I3" s="45"/>
      <c r="J3" s="45"/>
      <c r="K3" s="50"/>
      <c r="L3" s="45"/>
      <c r="M3" s="45"/>
      <c r="N3" s="45"/>
      <c r="O3" s="42" t="s">
        <v>21</v>
      </c>
      <c r="P3" s="42"/>
      <c r="Q3" s="43" t="s">
        <v>22</v>
      </c>
      <c r="R3" s="43"/>
      <c r="S3" s="43"/>
      <c r="T3" s="42" t="s">
        <v>21</v>
      </c>
      <c r="U3" s="42"/>
      <c r="V3" s="43" t="s">
        <v>22</v>
      </c>
      <c r="W3" s="43"/>
      <c r="X3" s="43"/>
      <c r="Y3" s="42" t="s">
        <v>21</v>
      </c>
      <c r="Z3" s="42"/>
      <c r="AA3" s="43" t="s">
        <v>22</v>
      </c>
      <c r="AB3" s="43"/>
      <c r="AC3" s="43"/>
      <c r="AD3" s="42" t="s">
        <v>21</v>
      </c>
      <c r="AE3" s="42"/>
      <c r="AF3" s="43" t="s">
        <v>22</v>
      </c>
      <c r="AG3" s="43"/>
      <c r="AH3" s="43"/>
      <c r="AI3" s="42" t="s">
        <v>21</v>
      </c>
      <c r="AJ3" s="42"/>
      <c r="AK3" s="43" t="s">
        <v>22</v>
      </c>
      <c r="AL3" s="43"/>
      <c r="AM3" s="43"/>
      <c r="AN3" s="43" t="s">
        <v>22</v>
      </c>
      <c r="AO3" s="43"/>
    </row>
    <row r="4" spans="1:41" s="2" customFormat="1" ht="15" x14ac:dyDescent="0.25">
      <c r="A4" s="46"/>
      <c r="B4" s="46"/>
      <c r="C4" s="46"/>
      <c r="D4" s="46"/>
      <c r="E4" s="51"/>
      <c r="F4" s="46"/>
      <c r="G4" s="46"/>
      <c r="H4" s="46"/>
      <c r="I4" s="46"/>
      <c r="J4" s="46"/>
      <c r="K4" s="51"/>
      <c r="L4" s="46"/>
      <c r="M4" s="46"/>
      <c r="N4" s="46"/>
      <c r="O4" s="3" t="s">
        <v>12</v>
      </c>
      <c r="P4" s="3" t="s">
        <v>19</v>
      </c>
      <c r="Q4" s="3" t="s">
        <v>12</v>
      </c>
      <c r="R4" s="3" t="s">
        <v>19</v>
      </c>
      <c r="S4" s="3" t="s">
        <v>16</v>
      </c>
      <c r="T4" s="3" t="s">
        <v>12</v>
      </c>
      <c r="U4" s="3" t="s">
        <v>19</v>
      </c>
      <c r="V4" s="3" t="s">
        <v>12</v>
      </c>
      <c r="W4" s="3" t="s">
        <v>19</v>
      </c>
      <c r="X4" s="3" t="s">
        <v>16</v>
      </c>
      <c r="Y4" s="3" t="s">
        <v>12</v>
      </c>
      <c r="Z4" s="3" t="s">
        <v>19</v>
      </c>
      <c r="AA4" s="3" t="s">
        <v>12</v>
      </c>
      <c r="AB4" s="3" t="s">
        <v>19</v>
      </c>
      <c r="AC4" s="3" t="s">
        <v>16</v>
      </c>
      <c r="AD4" s="3" t="s">
        <v>12</v>
      </c>
      <c r="AE4" s="3" t="s">
        <v>19</v>
      </c>
      <c r="AF4" s="3" t="s">
        <v>12</v>
      </c>
      <c r="AG4" s="3" t="s">
        <v>19</v>
      </c>
      <c r="AH4" s="3" t="s">
        <v>16</v>
      </c>
      <c r="AI4" s="3" t="s">
        <v>12</v>
      </c>
      <c r="AJ4" s="3" t="s">
        <v>19</v>
      </c>
      <c r="AK4" s="3" t="s">
        <v>12</v>
      </c>
      <c r="AL4" s="3" t="s">
        <v>19</v>
      </c>
      <c r="AM4" s="3" t="s">
        <v>16</v>
      </c>
      <c r="AN4" s="3" t="s">
        <v>12</v>
      </c>
      <c r="AO4" s="3" t="s">
        <v>19</v>
      </c>
    </row>
    <row r="5" spans="1:41" ht="12.75" customHeight="1" x14ac:dyDescent="0.25">
      <c r="A5" s="4"/>
      <c r="B5" s="4"/>
      <c r="C5" s="4"/>
      <c r="D5" s="4"/>
      <c r="E5" s="4"/>
      <c r="F5" s="4" t="s">
        <v>4</v>
      </c>
      <c r="G5" s="4"/>
      <c r="H5" s="4"/>
      <c r="I5" s="4"/>
      <c r="J5" s="4"/>
      <c r="K5" s="4"/>
      <c r="L5" s="4"/>
      <c r="M5" s="4"/>
      <c r="N5" s="4"/>
      <c r="O5" s="4" t="s">
        <v>23</v>
      </c>
      <c r="P5" s="4"/>
      <c r="Q5" s="4" t="s">
        <v>24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>
        <v>0</v>
      </c>
      <c r="AJ5" s="4"/>
      <c r="AK5" s="4"/>
      <c r="AL5" s="4"/>
      <c r="AM5" s="4"/>
      <c r="AN5" s="4"/>
      <c r="AO5" s="4"/>
    </row>
    <row r="6" spans="1:41" s="12" customFormat="1" x14ac:dyDescent="0.25">
      <c r="A6" s="13" t="s">
        <v>58</v>
      </c>
      <c r="B6" s="13"/>
      <c r="C6" s="14" t="s">
        <v>59</v>
      </c>
      <c r="D6" s="14" t="s">
        <v>60</v>
      </c>
      <c r="E6" s="14" t="s">
        <v>61</v>
      </c>
      <c r="F6" s="14" t="s">
        <v>62</v>
      </c>
      <c r="G6" s="14">
        <v>12345</v>
      </c>
      <c r="H6" s="14" t="s">
        <v>63</v>
      </c>
      <c r="I6" s="14" t="s">
        <v>54</v>
      </c>
      <c r="J6" s="15">
        <v>45752</v>
      </c>
      <c r="K6" s="14">
        <v>500000</v>
      </c>
      <c r="L6" s="14"/>
      <c r="M6" s="15">
        <v>45755</v>
      </c>
      <c r="N6" s="15">
        <v>45759</v>
      </c>
      <c r="O6" s="16">
        <v>0.5</v>
      </c>
      <c r="P6" s="14">
        <f t="shared" ref="P6:P43" si="0">K6*O6</f>
        <v>250000</v>
      </c>
      <c r="Q6" s="17">
        <v>0.2</v>
      </c>
      <c r="R6" s="14">
        <f>K6*Q6</f>
        <v>100000</v>
      </c>
      <c r="S6" s="14"/>
      <c r="T6" s="14"/>
      <c r="U6" s="14">
        <f t="shared" ref="U6:U17" si="1">K6*T6</f>
        <v>0</v>
      </c>
      <c r="V6" s="14"/>
      <c r="W6" s="14">
        <f t="shared" ref="W6:W18" si="2">K6*V6</f>
        <v>0</v>
      </c>
      <c r="X6" s="14"/>
      <c r="Y6" s="14"/>
      <c r="Z6" s="14">
        <f t="shared" ref="Z6:Z30" si="3">K6*Y6</f>
        <v>0</v>
      </c>
      <c r="AA6" s="14"/>
      <c r="AB6" s="14">
        <f t="shared" ref="AB6:AB18" si="4">K6*AA6</f>
        <v>0</v>
      </c>
      <c r="AC6" s="14"/>
      <c r="AD6" s="14"/>
      <c r="AE6" s="14">
        <f t="shared" ref="AE6:AE43" si="5">K6*AD6</f>
        <v>0</v>
      </c>
      <c r="AF6" s="14"/>
      <c r="AG6" s="14">
        <f t="shared" ref="AG6:AG18" si="6">K6*AF6</f>
        <v>0</v>
      </c>
      <c r="AH6" s="14"/>
      <c r="AI6" s="14"/>
      <c r="AJ6" s="14">
        <f t="shared" ref="AJ6:AJ24" si="7">K6*AI6</f>
        <v>0</v>
      </c>
      <c r="AK6" s="17">
        <v>0.01</v>
      </c>
      <c r="AL6" s="14">
        <f t="shared" ref="AL6:AL18" si="8">K6*AK6</f>
        <v>5000</v>
      </c>
      <c r="AM6" s="14"/>
      <c r="AN6" s="16">
        <f>SUM(Q6+V6+AA6+AF6+AK6)</f>
        <v>0.21000000000000002</v>
      </c>
      <c r="AO6" s="18">
        <f>SUM(R6+W6+AB6+AG6+AL6)</f>
        <v>105000</v>
      </c>
    </row>
    <row r="7" spans="1:41" x14ac:dyDescent="0.25">
      <c r="A7" s="5"/>
      <c r="B7" s="19"/>
      <c r="C7" s="4"/>
      <c r="D7" s="4"/>
      <c r="E7" s="4"/>
      <c r="F7" s="10"/>
      <c r="G7" s="4"/>
      <c r="H7" s="4"/>
      <c r="I7" s="4"/>
      <c r="J7" s="6"/>
      <c r="K7" s="4"/>
      <c r="L7" s="4"/>
      <c r="M7" s="6"/>
      <c r="N7" s="6"/>
      <c r="O7" s="7"/>
      <c r="P7" s="8"/>
      <c r="Q7" s="7"/>
      <c r="R7" s="8"/>
      <c r="S7" s="4"/>
      <c r="T7" s="7"/>
      <c r="U7" s="8"/>
      <c r="V7" s="4"/>
      <c r="W7" s="8"/>
      <c r="X7" s="4"/>
      <c r="Y7" s="4"/>
      <c r="Z7" s="8"/>
      <c r="AA7" s="4"/>
      <c r="AB7" s="8"/>
      <c r="AC7" s="4"/>
      <c r="AD7" s="7"/>
      <c r="AE7" s="8"/>
      <c r="AF7" s="4"/>
      <c r="AG7" s="8"/>
      <c r="AH7" s="4"/>
      <c r="AI7" s="4"/>
      <c r="AJ7" s="8"/>
      <c r="AK7" s="7"/>
      <c r="AL7" s="8"/>
      <c r="AM7" s="4"/>
      <c r="AN7" s="11"/>
      <c r="AO7" s="8"/>
    </row>
    <row r="8" spans="1:41" x14ac:dyDescent="0.25">
      <c r="A8" s="5"/>
      <c r="B8" s="19"/>
      <c r="C8" s="4"/>
      <c r="D8" s="4"/>
      <c r="E8" s="4"/>
      <c r="F8" s="4"/>
      <c r="G8" s="4"/>
      <c r="H8" s="4"/>
      <c r="I8" s="4"/>
      <c r="J8" s="6"/>
      <c r="K8" s="4"/>
      <c r="L8" s="4"/>
      <c r="M8" s="6"/>
      <c r="N8" s="6"/>
      <c r="O8" s="7"/>
      <c r="P8" s="8"/>
      <c r="Q8" s="7"/>
      <c r="R8" s="8"/>
      <c r="S8" s="4"/>
      <c r="T8" s="7"/>
      <c r="U8" s="8"/>
      <c r="V8" s="4"/>
      <c r="W8" s="8"/>
      <c r="X8" s="4"/>
      <c r="Y8" s="4"/>
      <c r="Z8" s="8"/>
      <c r="AA8" s="4"/>
      <c r="AB8" s="8"/>
      <c r="AC8" s="4"/>
      <c r="AD8" s="7"/>
      <c r="AE8" s="8"/>
      <c r="AF8" s="4"/>
      <c r="AG8" s="8"/>
      <c r="AH8" s="4"/>
      <c r="AI8" s="4"/>
      <c r="AJ8" s="8"/>
      <c r="AK8" s="4"/>
      <c r="AL8" s="8"/>
      <c r="AM8" s="4"/>
      <c r="AN8" s="11"/>
      <c r="AO8" s="8"/>
    </row>
    <row r="9" spans="1:41" x14ac:dyDescent="0.25">
      <c r="A9" s="5"/>
      <c r="B9" s="19"/>
      <c r="C9" s="4"/>
      <c r="D9" s="4"/>
      <c r="E9" s="4"/>
      <c r="F9" s="10"/>
      <c r="G9" s="4"/>
      <c r="H9" s="4"/>
      <c r="I9" s="4"/>
      <c r="J9" s="6"/>
      <c r="K9" s="4"/>
      <c r="L9" s="4"/>
      <c r="M9" s="6"/>
      <c r="N9" s="6"/>
      <c r="O9" s="7"/>
      <c r="P9" s="8"/>
      <c r="Q9" s="7"/>
      <c r="R9" s="8"/>
      <c r="S9" s="20"/>
      <c r="T9" s="4"/>
      <c r="U9" s="8"/>
      <c r="V9" s="4"/>
      <c r="W9" s="8"/>
      <c r="X9" s="4"/>
      <c r="Y9" s="4"/>
      <c r="Z9" s="8"/>
      <c r="AA9" s="4"/>
      <c r="AB9" s="8"/>
      <c r="AC9" s="4"/>
      <c r="AD9" s="4"/>
      <c r="AE9" s="8"/>
      <c r="AF9" s="4"/>
      <c r="AG9" s="8"/>
      <c r="AH9" s="4"/>
      <c r="AI9" s="7"/>
      <c r="AJ9" s="8"/>
      <c r="AK9" s="4"/>
      <c r="AL9" s="8"/>
      <c r="AM9" s="4"/>
      <c r="AN9" s="11"/>
      <c r="AO9" s="8"/>
    </row>
    <row r="10" spans="1:41" x14ac:dyDescent="0.25">
      <c r="A10" s="5"/>
      <c r="B10" s="19"/>
      <c r="C10" s="4"/>
      <c r="D10" s="4"/>
      <c r="E10" s="4"/>
      <c r="F10" s="10"/>
      <c r="G10" s="4"/>
      <c r="H10" s="4"/>
      <c r="I10" s="4"/>
      <c r="J10" s="6"/>
      <c r="K10" s="4"/>
      <c r="L10" s="4"/>
      <c r="M10" s="6"/>
      <c r="N10" s="6"/>
      <c r="O10" s="7"/>
      <c r="P10" s="8"/>
      <c r="Q10" s="7"/>
      <c r="R10" s="8"/>
      <c r="S10" s="20"/>
      <c r="T10" s="4"/>
      <c r="U10" s="8"/>
      <c r="V10" s="4"/>
      <c r="W10" s="8"/>
      <c r="X10" s="4"/>
      <c r="Y10" s="4"/>
      <c r="Z10" s="8"/>
      <c r="AA10" s="4"/>
      <c r="AB10" s="8"/>
      <c r="AC10" s="4"/>
      <c r="AD10" s="4"/>
      <c r="AE10" s="8"/>
      <c r="AF10" s="4"/>
      <c r="AG10" s="8"/>
      <c r="AH10" s="4"/>
      <c r="AI10" s="4"/>
      <c r="AJ10" s="8"/>
      <c r="AK10" s="4"/>
      <c r="AL10" s="8"/>
      <c r="AM10" s="4"/>
      <c r="AN10" s="11"/>
      <c r="AO10" s="8"/>
    </row>
    <row r="11" spans="1:41" x14ac:dyDescent="0.25">
      <c r="A11" s="4"/>
      <c r="B11" s="19"/>
      <c r="C11" s="4"/>
      <c r="D11" s="4"/>
      <c r="E11" s="4"/>
      <c r="F11" s="10"/>
      <c r="G11" s="4"/>
      <c r="H11" s="4"/>
      <c r="I11" s="4"/>
      <c r="J11" s="6"/>
      <c r="K11" s="4"/>
      <c r="L11" s="4"/>
      <c r="M11" s="6"/>
      <c r="N11" s="6"/>
      <c r="O11" s="7"/>
      <c r="P11" s="8"/>
      <c r="Q11" s="7"/>
      <c r="R11" s="8"/>
      <c r="S11" s="20"/>
      <c r="T11" s="7"/>
      <c r="U11" s="8"/>
      <c r="V11" s="7"/>
      <c r="W11" s="8"/>
      <c r="X11" s="20"/>
      <c r="Y11" s="4"/>
      <c r="Z11" s="8"/>
      <c r="AA11" s="4"/>
      <c r="AB11" s="8"/>
      <c r="AC11" s="4"/>
      <c r="AD11" s="7"/>
      <c r="AE11" s="8"/>
      <c r="AF11" s="4"/>
      <c r="AG11" s="8"/>
      <c r="AH11" s="4"/>
      <c r="AI11" s="4"/>
      <c r="AJ11" s="8"/>
      <c r="AK11" s="4"/>
      <c r="AL11" s="8"/>
      <c r="AM11" s="4"/>
      <c r="AN11" s="11"/>
      <c r="AO11" s="8"/>
    </row>
    <row r="12" spans="1:41" x14ac:dyDescent="0.25">
      <c r="A12" s="4"/>
      <c r="B12" s="19"/>
      <c r="C12" s="4"/>
      <c r="D12" s="4"/>
      <c r="E12" s="4"/>
      <c r="F12" s="4"/>
      <c r="G12" s="4"/>
      <c r="H12" s="4"/>
      <c r="I12" s="4"/>
      <c r="J12" s="6"/>
      <c r="K12" s="4"/>
      <c r="L12" s="4"/>
      <c r="M12" s="6"/>
      <c r="N12" s="6"/>
      <c r="O12" s="7"/>
      <c r="P12" s="8"/>
      <c r="Q12" s="7"/>
      <c r="R12" s="8"/>
      <c r="S12" s="20"/>
      <c r="T12" s="7"/>
      <c r="U12" s="8"/>
      <c r="V12" s="4"/>
      <c r="W12" s="8"/>
      <c r="X12" s="4"/>
      <c r="Y12" s="4"/>
      <c r="Z12" s="8"/>
      <c r="AA12" s="4"/>
      <c r="AB12" s="8"/>
      <c r="AC12" s="4"/>
      <c r="AD12" s="7"/>
      <c r="AE12" s="8"/>
      <c r="AF12" s="4"/>
      <c r="AG12" s="8"/>
      <c r="AH12" s="4"/>
      <c r="AI12" s="4"/>
      <c r="AJ12" s="8"/>
      <c r="AK12" s="4"/>
      <c r="AL12" s="8"/>
      <c r="AM12" s="4"/>
      <c r="AN12" s="11"/>
      <c r="AO12" s="8"/>
    </row>
    <row r="13" spans="1:41" x14ac:dyDescent="0.25">
      <c r="A13" s="4"/>
      <c r="B13" s="19"/>
      <c r="C13" s="4"/>
      <c r="D13" s="4"/>
      <c r="E13" s="4"/>
      <c r="F13" s="10"/>
      <c r="G13" s="4"/>
      <c r="H13" s="4"/>
      <c r="I13" s="4"/>
      <c r="J13" s="6"/>
      <c r="K13" s="4"/>
      <c r="L13" s="4"/>
      <c r="M13" s="6"/>
      <c r="N13" s="6"/>
      <c r="O13" s="4"/>
      <c r="P13" s="8"/>
      <c r="Q13" s="4"/>
      <c r="R13" s="8"/>
      <c r="S13" s="4"/>
      <c r="T13" s="4"/>
      <c r="U13" s="8"/>
      <c r="V13" s="4"/>
      <c r="W13" s="8"/>
      <c r="X13" s="4"/>
      <c r="Y13" s="4"/>
      <c r="Z13" s="8"/>
      <c r="AA13" s="4"/>
      <c r="AB13" s="8"/>
      <c r="AC13" s="4"/>
      <c r="AD13" s="7"/>
      <c r="AE13" s="8"/>
      <c r="AF13" s="4"/>
      <c r="AG13" s="8"/>
      <c r="AH13" s="4"/>
      <c r="AI13" s="4"/>
      <c r="AJ13" s="8"/>
      <c r="AK13" s="4"/>
      <c r="AL13" s="8"/>
      <c r="AM13" s="4"/>
      <c r="AN13" s="11"/>
      <c r="AO13" s="8"/>
    </row>
    <row r="14" spans="1:41" x14ac:dyDescent="0.25">
      <c r="A14" s="4"/>
      <c r="B14" s="19"/>
      <c r="C14" s="4"/>
      <c r="D14" s="4"/>
      <c r="E14" s="4"/>
      <c r="F14" s="10"/>
      <c r="G14" s="4"/>
      <c r="H14" s="4"/>
      <c r="I14" s="4"/>
      <c r="J14" s="6"/>
      <c r="K14" s="4"/>
      <c r="L14" s="4"/>
      <c r="M14" s="4"/>
      <c r="N14" s="4"/>
      <c r="O14" s="7"/>
      <c r="P14" s="8"/>
      <c r="Q14" s="4"/>
      <c r="R14" s="8"/>
      <c r="S14" s="4"/>
      <c r="T14" s="7"/>
      <c r="U14" s="8"/>
      <c r="V14" s="4"/>
      <c r="W14" s="8"/>
      <c r="X14" s="4"/>
      <c r="Y14" s="4"/>
      <c r="Z14" s="8"/>
      <c r="AA14" s="4"/>
      <c r="AB14" s="8"/>
      <c r="AC14" s="4"/>
      <c r="AD14" s="7"/>
      <c r="AE14" s="8"/>
      <c r="AF14" s="4"/>
      <c r="AG14" s="8"/>
      <c r="AH14" s="4"/>
      <c r="AI14" s="4"/>
      <c r="AJ14" s="8"/>
      <c r="AK14" s="4"/>
      <c r="AL14" s="8"/>
      <c r="AM14" s="4"/>
      <c r="AN14" s="11"/>
      <c r="AO14" s="8"/>
    </row>
    <row r="15" spans="1:41" x14ac:dyDescent="0.25">
      <c r="A15" s="4"/>
      <c r="B15" s="19"/>
      <c r="C15" s="4"/>
      <c r="D15" s="4"/>
      <c r="E15" s="4"/>
      <c r="F15" s="10"/>
      <c r="G15" s="4"/>
      <c r="H15" s="4"/>
      <c r="I15" s="4"/>
      <c r="J15" s="6"/>
      <c r="K15" s="4"/>
      <c r="L15" s="4"/>
      <c r="M15" s="6"/>
      <c r="N15" s="6"/>
      <c r="O15" s="4"/>
      <c r="P15" s="8"/>
      <c r="Q15" s="4"/>
      <c r="R15" s="8"/>
      <c r="S15" s="4"/>
      <c r="T15" s="7"/>
      <c r="U15" s="8"/>
      <c r="V15" s="4"/>
      <c r="W15" s="8"/>
      <c r="X15" s="4"/>
      <c r="Y15" s="4"/>
      <c r="Z15" s="8"/>
      <c r="AA15" s="4"/>
      <c r="AB15" s="8"/>
      <c r="AC15" s="4"/>
      <c r="AD15" s="7"/>
      <c r="AE15" s="8"/>
      <c r="AF15" s="4"/>
      <c r="AG15" s="8"/>
      <c r="AH15" s="4"/>
      <c r="AI15" s="4"/>
      <c r="AJ15" s="8"/>
      <c r="AK15" s="4"/>
      <c r="AL15" s="8"/>
      <c r="AM15" s="4"/>
      <c r="AN15" s="11"/>
      <c r="AO15" s="8"/>
    </row>
    <row r="16" spans="1:41" x14ac:dyDescent="0.25">
      <c r="A16" s="4"/>
      <c r="B16" s="19"/>
      <c r="C16" s="4"/>
      <c r="D16" s="4"/>
      <c r="E16" s="4"/>
      <c r="F16" s="10"/>
      <c r="G16" s="4"/>
      <c r="H16" s="4"/>
      <c r="I16" s="4"/>
      <c r="J16" s="6"/>
      <c r="K16" s="4"/>
      <c r="L16" s="4"/>
      <c r="M16" s="6"/>
      <c r="N16" s="6"/>
      <c r="O16" s="4"/>
      <c r="P16" s="8"/>
      <c r="Q16" s="4"/>
      <c r="R16" s="8"/>
      <c r="S16" s="4"/>
      <c r="T16" s="7"/>
      <c r="U16" s="8"/>
      <c r="V16" s="4"/>
      <c r="W16" s="8"/>
      <c r="X16" s="4"/>
      <c r="Y16" s="4"/>
      <c r="Z16" s="8"/>
      <c r="AA16" s="4"/>
      <c r="AB16" s="8"/>
      <c r="AC16" s="4"/>
      <c r="AD16" s="7"/>
      <c r="AE16" s="8"/>
      <c r="AF16" s="4"/>
      <c r="AG16" s="8"/>
      <c r="AH16" s="4"/>
      <c r="AI16" s="4"/>
      <c r="AJ16" s="8"/>
      <c r="AK16" s="4"/>
      <c r="AL16" s="8"/>
      <c r="AM16" s="4"/>
      <c r="AN16" s="11"/>
      <c r="AO16" s="8"/>
    </row>
    <row r="17" spans="1:41" x14ac:dyDescent="0.25">
      <c r="A17" s="4"/>
      <c r="B17" s="19"/>
      <c r="C17" s="4"/>
      <c r="D17" s="4"/>
      <c r="E17" s="4"/>
      <c r="F17" s="10"/>
      <c r="G17" s="4"/>
      <c r="H17" s="4"/>
      <c r="I17" s="4"/>
      <c r="J17" s="6"/>
      <c r="K17" s="4"/>
      <c r="L17" s="4"/>
      <c r="M17" s="6"/>
      <c r="N17" s="6"/>
      <c r="O17" s="7"/>
      <c r="P17" s="8"/>
      <c r="Q17" s="7"/>
      <c r="R17" s="8"/>
      <c r="S17" s="4"/>
      <c r="T17" s="7"/>
      <c r="U17" s="8"/>
      <c r="V17" s="4"/>
      <c r="W17" s="8"/>
      <c r="X17" s="4"/>
      <c r="Y17" s="4"/>
      <c r="Z17" s="8"/>
      <c r="AA17" s="4"/>
      <c r="AB17" s="8"/>
      <c r="AC17" s="4"/>
      <c r="AD17" s="7"/>
      <c r="AE17" s="8"/>
      <c r="AF17" s="4"/>
      <c r="AG17" s="8"/>
      <c r="AH17" s="4"/>
      <c r="AI17" s="4"/>
      <c r="AJ17" s="8"/>
      <c r="AK17" s="4"/>
      <c r="AL17" s="8"/>
      <c r="AM17" s="4"/>
      <c r="AN17" s="11"/>
      <c r="AO17" s="8"/>
    </row>
    <row r="18" spans="1:41" x14ac:dyDescent="0.25">
      <c r="A18" s="4"/>
      <c r="B18" s="21"/>
      <c r="C18" s="4"/>
      <c r="D18" s="4"/>
      <c r="E18" s="4"/>
      <c r="F18" s="10"/>
      <c r="G18" s="4"/>
      <c r="H18" s="4"/>
      <c r="I18" s="4"/>
      <c r="J18" s="6"/>
      <c r="K18" s="4"/>
      <c r="L18" s="4"/>
      <c r="M18" s="6"/>
      <c r="N18" s="30"/>
      <c r="O18" s="7"/>
      <c r="P18" s="8"/>
      <c r="Q18" s="7"/>
      <c r="R18" s="8"/>
      <c r="S18" s="4"/>
      <c r="T18" s="7"/>
      <c r="U18" s="8"/>
      <c r="V18" s="4"/>
      <c r="W18" s="8"/>
      <c r="X18" s="4"/>
      <c r="Y18" s="7"/>
      <c r="Z18" s="8"/>
      <c r="AA18" s="4"/>
      <c r="AB18" s="8"/>
      <c r="AC18" s="4"/>
      <c r="AD18" s="7"/>
      <c r="AE18" s="8"/>
      <c r="AF18" s="4"/>
      <c r="AG18" s="8"/>
      <c r="AH18" s="4"/>
      <c r="AI18" s="4"/>
      <c r="AJ18" s="8"/>
      <c r="AK18" s="4"/>
      <c r="AL18" s="8"/>
      <c r="AM18" s="4"/>
      <c r="AN18" s="11"/>
      <c r="AO18" s="8"/>
    </row>
    <row r="19" spans="1:41" x14ac:dyDescent="0.25">
      <c r="A19" s="4"/>
      <c r="B19" s="21"/>
      <c r="C19" s="4"/>
      <c r="D19" s="4"/>
      <c r="E19" s="4"/>
      <c r="F19" s="4"/>
      <c r="G19" s="4"/>
      <c r="H19" s="4"/>
      <c r="I19" s="4"/>
      <c r="J19" s="6"/>
      <c r="K19" s="4"/>
      <c r="L19" s="4"/>
      <c r="M19" s="6"/>
      <c r="N19" s="6"/>
      <c r="O19" s="7"/>
      <c r="P19" s="8"/>
      <c r="Q19" s="4"/>
      <c r="R19" s="8"/>
      <c r="S19" s="4"/>
      <c r="T19" s="7"/>
      <c r="U19" s="8"/>
      <c r="V19" s="4"/>
      <c r="W19" s="8"/>
      <c r="X19" s="4"/>
      <c r="Y19" s="7"/>
      <c r="Z19" s="8"/>
      <c r="AA19" s="4"/>
      <c r="AB19" s="8"/>
      <c r="AC19" s="4"/>
      <c r="AD19" s="7"/>
      <c r="AE19" s="8"/>
      <c r="AF19" s="4"/>
      <c r="AG19" s="8"/>
      <c r="AH19" s="4"/>
      <c r="AI19" s="4"/>
      <c r="AJ19" s="8"/>
      <c r="AK19" s="4"/>
      <c r="AL19" s="8"/>
      <c r="AM19" s="4"/>
      <c r="AN19" s="11"/>
      <c r="AO19" s="8"/>
    </row>
    <row r="20" spans="1:41" x14ac:dyDescent="0.25">
      <c r="A20" s="4"/>
      <c r="B20" s="21"/>
      <c r="C20" s="4"/>
      <c r="D20" s="4"/>
      <c r="E20" s="4"/>
      <c r="F20" s="10"/>
      <c r="G20" s="4"/>
      <c r="H20" s="4"/>
      <c r="I20" s="4"/>
      <c r="J20" s="6"/>
      <c r="K20" s="4"/>
      <c r="L20" s="4"/>
      <c r="M20" s="6"/>
      <c r="N20" s="4"/>
      <c r="O20" s="7"/>
      <c r="P20" s="8"/>
      <c r="Q20" s="7"/>
      <c r="R20" s="8"/>
      <c r="S20" s="4"/>
      <c r="T20" s="7"/>
      <c r="U20" s="8"/>
      <c r="V20" s="4"/>
      <c r="W20" s="8"/>
      <c r="X20" s="4"/>
      <c r="Y20" s="4"/>
      <c r="Z20" s="8"/>
      <c r="AA20" s="4"/>
      <c r="AB20" s="8"/>
      <c r="AC20" s="4"/>
      <c r="AD20" s="7"/>
      <c r="AE20" s="8"/>
      <c r="AF20" s="4"/>
      <c r="AG20" s="8"/>
      <c r="AH20" s="4"/>
      <c r="AI20" s="4"/>
      <c r="AJ20" s="8"/>
      <c r="AK20" s="4"/>
      <c r="AL20" s="8"/>
      <c r="AM20" s="4"/>
      <c r="AN20" s="11"/>
      <c r="AO20" s="8"/>
    </row>
    <row r="21" spans="1:41" x14ac:dyDescent="0.25">
      <c r="A21" s="4"/>
      <c r="B21" s="21"/>
      <c r="C21" s="4"/>
      <c r="D21" s="4"/>
      <c r="E21" s="4"/>
      <c r="F21" s="4"/>
      <c r="G21" s="4"/>
      <c r="H21" s="4"/>
      <c r="I21" s="4"/>
      <c r="J21" s="6"/>
      <c r="K21" s="4"/>
      <c r="L21" s="4"/>
      <c r="M21" s="20"/>
      <c r="N21" s="20"/>
      <c r="O21" s="7"/>
      <c r="P21" s="8"/>
      <c r="Q21" s="29"/>
      <c r="R21" s="8"/>
      <c r="S21" s="4"/>
      <c r="T21" s="4"/>
      <c r="U21" s="8"/>
      <c r="V21" s="4"/>
      <c r="W21" s="8"/>
      <c r="X21" s="4"/>
      <c r="Y21" s="4"/>
      <c r="Z21" s="8"/>
      <c r="AA21" s="4"/>
      <c r="AB21" s="8"/>
      <c r="AC21" s="4"/>
      <c r="AD21" s="7"/>
      <c r="AE21" s="8"/>
      <c r="AF21" s="4"/>
      <c r="AG21" s="8"/>
      <c r="AH21" s="4"/>
      <c r="AI21" s="4"/>
      <c r="AJ21" s="8"/>
      <c r="AK21" s="4"/>
      <c r="AL21" s="8"/>
      <c r="AM21" s="4"/>
      <c r="AN21" s="11"/>
      <c r="AO21" s="8"/>
    </row>
    <row r="22" spans="1:41" x14ac:dyDescent="0.25">
      <c r="A22" s="4"/>
      <c r="B22" s="21"/>
      <c r="C22" s="4"/>
      <c r="D22" s="4"/>
      <c r="E22" s="4"/>
      <c r="F22" s="4"/>
      <c r="G22" s="4"/>
      <c r="H22" s="4"/>
      <c r="I22" s="4"/>
      <c r="J22" s="6"/>
      <c r="K22" s="4"/>
      <c r="L22" s="4"/>
      <c r="M22" s="20"/>
      <c r="N22" s="6"/>
      <c r="O22" s="7"/>
      <c r="P22" s="8"/>
      <c r="Q22" s="4"/>
      <c r="R22" s="8"/>
      <c r="S22" s="4"/>
      <c r="T22" s="7"/>
      <c r="U22" s="8"/>
      <c r="V22" s="4"/>
      <c r="W22" s="8"/>
      <c r="X22" s="4"/>
      <c r="Y22" s="4"/>
      <c r="Z22" s="8"/>
      <c r="AA22" s="4"/>
      <c r="AB22" s="8"/>
      <c r="AC22" s="4"/>
      <c r="AD22" s="7"/>
      <c r="AE22" s="8"/>
      <c r="AF22" s="4"/>
      <c r="AG22" s="8"/>
      <c r="AH22" s="4"/>
      <c r="AI22" s="4"/>
      <c r="AJ22" s="8"/>
      <c r="AK22" s="4"/>
      <c r="AL22" s="8"/>
      <c r="AM22" s="4"/>
      <c r="AN22" s="11"/>
      <c r="AO22" s="8"/>
    </row>
    <row r="23" spans="1:41" ht="15" x14ac:dyDescent="0.25">
      <c r="A23" s="4"/>
      <c r="B23" s="21"/>
      <c r="C23" s="26"/>
      <c r="D23" s="22"/>
      <c r="E23" s="4"/>
      <c r="F23" s="10"/>
      <c r="G23" s="4"/>
      <c r="H23" s="4"/>
      <c r="I23" s="4"/>
      <c r="J23" s="6"/>
      <c r="K23" s="4"/>
      <c r="L23" s="4"/>
      <c r="M23" s="6"/>
      <c r="N23" s="30"/>
      <c r="O23" s="7"/>
      <c r="P23" s="8"/>
      <c r="Q23" s="7"/>
      <c r="R23" s="8"/>
      <c r="S23" s="4"/>
      <c r="T23" s="7"/>
      <c r="U23" s="8"/>
      <c r="V23" s="4"/>
      <c r="W23" s="8"/>
      <c r="X23" s="4"/>
      <c r="Y23" s="4"/>
      <c r="Z23" s="8"/>
      <c r="AA23" s="4"/>
      <c r="AB23" s="8"/>
      <c r="AC23" s="4"/>
      <c r="AD23" s="7"/>
      <c r="AE23" s="8"/>
      <c r="AF23" s="4"/>
      <c r="AG23" s="8"/>
      <c r="AH23" s="4"/>
      <c r="AI23" s="7"/>
      <c r="AJ23" s="8"/>
      <c r="AK23" s="4"/>
      <c r="AL23" s="8"/>
      <c r="AM23" s="4"/>
      <c r="AN23" s="11"/>
      <c r="AO23" s="8"/>
    </row>
    <row r="24" spans="1:41" ht="15" x14ac:dyDescent="0.25">
      <c r="A24" s="4"/>
      <c r="B24" s="21"/>
      <c r="C24" s="26"/>
      <c r="D24" s="22"/>
      <c r="E24" s="4"/>
      <c r="F24" s="4"/>
      <c r="G24" s="4"/>
      <c r="H24" s="4"/>
      <c r="I24" s="4"/>
      <c r="J24" s="6"/>
      <c r="K24" s="4"/>
      <c r="L24" s="4"/>
      <c r="M24" s="6"/>
      <c r="N24" s="20"/>
      <c r="O24" s="7"/>
      <c r="P24" s="8"/>
      <c r="Q24" s="7"/>
      <c r="R24" s="8"/>
      <c r="S24" s="4"/>
      <c r="T24" s="4"/>
      <c r="U24" s="8"/>
      <c r="V24" s="4"/>
      <c r="W24" s="8"/>
      <c r="X24" s="4"/>
      <c r="Y24" s="4"/>
      <c r="Z24" s="8"/>
      <c r="AA24" s="4"/>
      <c r="AB24" s="8"/>
      <c r="AC24" s="4"/>
      <c r="AD24" s="4"/>
      <c r="AE24" s="8"/>
      <c r="AF24" s="4"/>
      <c r="AG24" s="8"/>
      <c r="AH24" s="4"/>
      <c r="AI24" s="7"/>
      <c r="AJ24" s="8"/>
      <c r="AK24" s="4"/>
      <c r="AL24" s="8"/>
      <c r="AM24" s="4"/>
      <c r="AN24" s="11"/>
      <c r="AO24" s="8"/>
    </row>
    <row r="25" spans="1:41" ht="15" x14ac:dyDescent="0.25">
      <c r="A25" s="4"/>
      <c r="B25" s="21"/>
      <c r="C25" s="26"/>
      <c r="D25" s="22"/>
      <c r="E25" s="4"/>
      <c r="F25" s="4"/>
      <c r="G25" s="4"/>
      <c r="H25" s="4"/>
      <c r="I25" s="4"/>
      <c r="J25" s="6"/>
      <c r="K25" s="4"/>
      <c r="L25" s="4"/>
      <c r="M25" s="6"/>
      <c r="N25" s="20"/>
      <c r="O25" s="7"/>
      <c r="P25" s="8"/>
      <c r="Q25" s="7"/>
      <c r="R25" s="8"/>
      <c r="S25" s="20"/>
      <c r="T25" s="7"/>
      <c r="U25" s="8"/>
      <c r="V25" s="7"/>
      <c r="W25" s="8"/>
      <c r="X25" s="20"/>
      <c r="Y25" s="7"/>
      <c r="Z25" s="8"/>
      <c r="AA25" s="7"/>
      <c r="AB25" s="8"/>
      <c r="AC25" s="4"/>
      <c r="AD25" s="7"/>
      <c r="AE25" s="8"/>
      <c r="AF25" s="7"/>
      <c r="AG25" s="8"/>
      <c r="AH25" s="20"/>
      <c r="AI25" s="4"/>
      <c r="AJ25" s="8"/>
      <c r="AK25" s="4"/>
      <c r="AL25" s="8"/>
      <c r="AM25" s="4"/>
      <c r="AN25" s="11"/>
      <c r="AO25" s="8"/>
    </row>
    <row r="26" spans="1:41" ht="15" x14ac:dyDescent="0.25">
      <c r="A26" s="4"/>
      <c r="B26" s="21"/>
      <c r="C26" s="23"/>
      <c r="D26" s="23"/>
      <c r="E26" s="4"/>
      <c r="F26" s="4"/>
      <c r="G26" s="4"/>
      <c r="H26" s="4"/>
      <c r="I26" s="4"/>
      <c r="J26" s="6"/>
      <c r="K26" s="4"/>
      <c r="L26" s="4"/>
      <c r="M26" s="6"/>
      <c r="N26" s="20"/>
      <c r="O26" s="7"/>
      <c r="P26" s="8"/>
      <c r="Q26" s="7"/>
      <c r="R26" s="8"/>
      <c r="S26" s="4"/>
      <c r="T26" s="7"/>
      <c r="U26" s="8"/>
      <c r="V26" s="4"/>
      <c r="W26" s="8"/>
      <c r="X26" s="4"/>
      <c r="Y26" s="7"/>
      <c r="Z26" s="8"/>
      <c r="AA26" s="4"/>
      <c r="AB26" s="8"/>
      <c r="AC26" s="4"/>
      <c r="AD26" s="4"/>
      <c r="AE26" s="8"/>
      <c r="AF26" s="4"/>
      <c r="AG26" s="8"/>
      <c r="AH26" s="4"/>
      <c r="AI26" s="4"/>
      <c r="AJ26" s="8"/>
      <c r="AK26" s="4"/>
      <c r="AL26" s="8"/>
      <c r="AM26" s="4"/>
      <c r="AN26" s="11"/>
      <c r="AO26" s="8"/>
    </row>
    <row r="27" spans="1:41" ht="15" x14ac:dyDescent="0.25">
      <c r="A27" s="4"/>
      <c r="B27" s="21"/>
      <c r="C27" s="26"/>
      <c r="D27" s="24"/>
      <c r="E27" s="4"/>
      <c r="F27" s="10"/>
      <c r="G27" s="4"/>
      <c r="H27" s="4"/>
      <c r="I27" s="4"/>
      <c r="J27" s="6"/>
      <c r="K27" s="4"/>
      <c r="L27" s="4"/>
      <c r="M27" s="6"/>
      <c r="N27" s="30"/>
      <c r="O27" s="7"/>
      <c r="P27" s="8"/>
      <c r="Q27" s="7"/>
      <c r="R27" s="8"/>
      <c r="S27" s="4"/>
      <c r="T27" s="4"/>
      <c r="U27" s="8"/>
      <c r="V27" s="4"/>
      <c r="W27" s="8"/>
      <c r="X27" s="4"/>
      <c r="Y27" s="4"/>
      <c r="Z27" s="8"/>
      <c r="AA27" s="4"/>
      <c r="AB27" s="8"/>
      <c r="AC27" s="4"/>
      <c r="AD27" s="7"/>
      <c r="AE27" s="8"/>
      <c r="AF27" s="4"/>
      <c r="AG27" s="8"/>
      <c r="AH27" s="4"/>
      <c r="AI27" s="4"/>
      <c r="AJ27" s="8"/>
      <c r="AK27" s="4"/>
      <c r="AL27" s="8"/>
      <c r="AM27" s="4"/>
      <c r="AN27" s="11"/>
      <c r="AO27" s="8"/>
    </row>
    <row r="28" spans="1:41" ht="15" x14ac:dyDescent="0.25">
      <c r="A28" s="4"/>
      <c r="B28" s="21"/>
      <c r="C28" s="27"/>
      <c r="D28" s="23"/>
      <c r="E28" s="4"/>
      <c r="F28" s="10"/>
      <c r="G28" s="4"/>
      <c r="H28" s="4"/>
      <c r="I28" s="4"/>
      <c r="J28" s="6"/>
      <c r="K28" s="4"/>
      <c r="L28" s="4"/>
      <c r="M28" s="6"/>
      <c r="N28" s="30"/>
      <c r="O28" s="7"/>
      <c r="P28" s="8"/>
      <c r="Q28" s="7"/>
      <c r="R28" s="8"/>
      <c r="S28" s="4"/>
      <c r="T28" s="7"/>
      <c r="U28" s="8"/>
      <c r="V28" s="4"/>
      <c r="W28" s="8"/>
      <c r="X28" s="4"/>
      <c r="Y28" s="4"/>
      <c r="Z28" s="8"/>
      <c r="AA28" s="4"/>
      <c r="AB28" s="8"/>
      <c r="AC28" s="4"/>
      <c r="AD28" s="7"/>
      <c r="AE28" s="8"/>
      <c r="AF28" s="4"/>
      <c r="AG28" s="8"/>
      <c r="AH28" s="4"/>
      <c r="AI28" s="4"/>
      <c r="AJ28" s="8"/>
      <c r="AK28" s="4"/>
      <c r="AL28" s="8"/>
      <c r="AM28" s="4"/>
      <c r="AN28" s="11"/>
      <c r="AO28" s="8"/>
    </row>
    <row r="29" spans="1:41" ht="15" x14ac:dyDescent="0.25">
      <c r="A29" s="4"/>
      <c r="B29" s="21"/>
      <c r="C29" s="26"/>
      <c r="D29" s="22"/>
      <c r="E29" s="4"/>
      <c r="F29" s="4"/>
      <c r="G29" s="4"/>
      <c r="H29" s="4"/>
      <c r="I29" s="4"/>
      <c r="J29" s="6"/>
      <c r="K29" s="4"/>
      <c r="L29" s="4"/>
      <c r="M29" s="6"/>
      <c r="N29" s="20"/>
      <c r="O29" s="7"/>
      <c r="P29" s="8"/>
      <c r="Q29" s="7"/>
      <c r="R29" s="8"/>
      <c r="S29" s="20"/>
      <c r="T29" s="7"/>
      <c r="U29" s="8"/>
      <c r="V29" s="4"/>
      <c r="W29" s="8"/>
      <c r="X29" s="4"/>
      <c r="Y29" s="4"/>
      <c r="Z29" s="8"/>
      <c r="AA29" s="4"/>
      <c r="AB29" s="8"/>
      <c r="AC29" s="4"/>
      <c r="AD29" s="7"/>
      <c r="AE29" s="8"/>
      <c r="AF29" s="4"/>
      <c r="AG29" s="8"/>
      <c r="AH29" s="4"/>
      <c r="AI29" s="4"/>
      <c r="AJ29" s="8"/>
      <c r="AK29" s="4"/>
      <c r="AL29" s="8"/>
      <c r="AM29" s="4"/>
      <c r="AN29" s="8"/>
      <c r="AO29" s="8"/>
    </row>
    <row r="30" spans="1:41" ht="15" x14ac:dyDescent="0.25">
      <c r="A30" s="4"/>
      <c r="B30" s="21"/>
      <c r="C30" s="28"/>
      <c r="D30" s="25"/>
      <c r="E30" s="4"/>
      <c r="F30" s="4"/>
      <c r="G30" s="4"/>
      <c r="H30" s="4"/>
      <c r="I30" s="4"/>
      <c r="J30" s="6"/>
      <c r="K30" s="4"/>
      <c r="L30" s="4"/>
      <c r="M30" s="6"/>
      <c r="N30" s="30"/>
      <c r="O30" s="7"/>
      <c r="P30" s="8"/>
      <c r="Q30" s="7"/>
      <c r="R30" s="8"/>
      <c r="S30" s="20"/>
      <c r="T30" s="7"/>
      <c r="U30" s="8"/>
      <c r="V30" s="4"/>
      <c r="W30" s="8"/>
      <c r="X30" s="4"/>
      <c r="Y30" s="4"/>
      <c r="Z30" s="8"/>
      <c r="AA30" s="4"/>
      <c r="AB30" s="8"/>
      <c r="AC30" s="4"/>
      <c r="AD30" s="7"/>
      <c r="AE30" s="8"/>
      <c r="AF30" s="4"/>
      <c r="AG30" s="8"/>
      <c r="AH30" s="4"/>
      <c r="AI30" s="4"/>
      <c r="AJ30" s="8"/>
      <c r="AK30" s="4"/>
      <c r="AL30" s="8"/>
      <c r="AM30" s="4"/>
      <c r="AN30" s="8"/>
      <c r="AO30" s="8"/>
    </row>
    <row r="31" spans="1:41" ht="15" x14ac:dyDescent="0.25">
      <c r="A31" s="4"/>
      <c r="B31" s="21"/>
      <c r="C31" s="26"/>
      <c r="D31" s="22"/>
      <c r="E31" s="4"/>
      <c r="F31" s="4"/>
      <c r="G31" s="4"/>
      <c r="H31" s="4"/>
      <c r="I31" s="4"/>
      <c r="J31" s="6"/>
      <c r="K31" s="4"/>
      <c r="L31" s="4"/>
      <c r="N31" s="30"/>
      <c r="O31" s="7"/>
      <c r="P31" s="8"/>
      <c r="Q31" s="7"/>
      <c r="R31" s="8"/>
      <c r="S31" s="20"/>
      <c r="T31" s="7"/>
      <c r="U31" s="8"/>
      <c r="V31" s="4"/>
      <c r="W31" s="8"/>
      <c r="X31" s="4"/>
      <c r="Y31" s="4"/>
      <c r="Z31" s="8"/>
      <c r="AA31" s="4"/>
      <c r="AB31" s="8"/>
      <c r="AC31" s="4"/>
      <c r="AD31" s="7"/>
      <c r="AE31" s="8"/>
      <c r="AF31" s="4"/>
      <c r="AG31" s="8"/>
      <c r="AH31" s="4"/>
      <c r="AI31" s="4"/>
      <c r="AJ31" s="8"/>
      <c r="AK31" s="4"/>
      <c r="AL31" s="8"/>
      <c r="AM31" s="4"/>
      <c r="AN31" s="8"/>
      <c r="AO31" s="8"/>
    </row>
    <row r="32" spans="1:41" ht="15" x14ac:dyDescent="0.25">
      <c r="A32" s="4"/>
      <c r="B32" s="21"/>
      <c r="C32" s="26"/>
      <c r="D32" s="22"/>
      <c r="E32" s="4"/>
      <c r="F32" s="4"/>
      <c r="G32" s="4"/>
      <c r="H32" s="4"/>
      <c r="I32" s="4"/>
      <c r="J32" s="6"/>
      <c r="K32" s="4"/>
      <c r="L32" s="4"/>
      <c r="M32" s="4"/>
      <c r="N32" s="30"/>
      <c r="O32" s="7"/>
      <c r="P32" s="8"/>
      <c r="Q32" s="7"/>
      <c r="R32" s="8"/>
      <c r="S32" s="20"/>
      <c r="T32" s="7"/>
      <c r="U32" s="8"/>
      <c r="V32" s="7"/>
      <c r="W32" s="8"/>
      <c r="X32" s="4"/>
      <c r="Y32" s="4"/>
      <c r="Z32" s="8"/>
      <c r="AA32" s="4"/>
      <c r="AB32" s="8"/>
      <c r="AC32" s="4"/>
      <c r="AD32" s="7"/>
      <c r="AE32" s="8"/>
      <c r="AF32" s="4"/>
      <c r="AG32" s="8"/>
      <c r="AH32" s="4"/>
      <c r="AI32" s="4"/>
      <c r="AJ32" s="8"/>
      <c r="AK32" s="4"/>
      <c r="AL32" s="8"/>
      <c r="AM32" s="4"/>
      <c r="AN32" s="8"/>
      <c r="AO32" s="8"/>
    </row>
    <row r="33" spans="1:41" ht="15" x14ac:dyDescent="0.25">
      <c r="A33" s="4"/>
      <c r="B33" s="21"/>
      <c r="C33" s="26"/>
      <c r="D33" s="4"/>
      <c r="E33" s="4"/>
      <c r="F33" s="10"/>
      <c r="G33" s="4"/>
      <c r="H33" s="4"/>
      <c r="I33" s="4"/>
      <c r="J33" s="6"/>
      <c r="K33" s="4"/>
      <c r="L33" s="4"/>
      <c r="M33" s="4"/>
      <c r="N33" s="30"/>
      <c r="O33" s="7"/>
      <c r="P33" s="8"/>
      <c r="Q33" s="4"/>
      <c r="R33" s="8"/>
      <c r="S33" s="4"/>
      <c r="T33" s="7"/>
      <c r="U33" s="8"/>
      <c r="V33" s="4"/>
      <c r="W33" s="8"/>
      <c r="X33" s="4"/>
      <c r="Y33" s="4"/>
      <c r="Z33" s="8"/>
      <c r="AA33" s="4"/>
      <c r="AB33" s="8"/>
      <c r="AC33" s="4"/>
      <c r="AD33" s="7"/>
      <c r="AE33" s="8"/>
      <c r="AF33" s="4"/>
      <c r="AG33" s="8"/>
      <c r="AH33" s="4"/>
      <c r="AI33" s="4"/>
      <c r="AJ33" s="8"/>
      <c r="AK33" s="4"/>
      <c r="AL33" s="8"/>
      <c r="AM33" s="4"/>
      <c r="AN33" s="8"/>
      <c r="AO33" s="8"/>
    </row>
    <row r="34" spans="1:41" ht="15" x14ac:dyDescent="0.25">
      <c r="A34" s="4"/>
      <c r="B34" s="21"/>
      <c r="C34" s="26"/>
      <c r="D34" s="22"/>
      <c r="E34" s="4"/>
      <c r="F34" s="4"/>
      <c r="G34" s="4"/>
      <c r="H34" s="4"/>
      <c r="I34" s="4"/>
      <c r="J34" s="6"/>
      <c r="K34" s="4"/>
      <c r="L34" s="4"/>
      <c r="M34" s="36"/>
      <c r="N34" s="30"/>
      <c r="O34" s="7"/>
      <c r="P34" s="8"/>
      <c r="Q34" s="7"/>
      <c r="R34" s="8"/>
      <c r="S34" s="4"/>
      <c r="T34" s="7"/>
      <c r="U34" s="8"/>
      <c r="V34" s="4"/>
      <c r="W34" s="8"/>
      <c r="X34" s="4"/>
      <c r="Y34" s="4"/>
      <c r="Z34" s="8"/>
      <c r="AA34" s="4"/>
      <c r="AB34" s="8"/>
      <c r="AC34" s="4"/>
      <c r="AD34" s="7"/>
      <c r="AE34" s="8"/>
      <c r="AF34" s="4"/>
      <c r="AG34" s="8"/>
      <c r="AH34" s="4"/>
      <c r="AI34" s="4"/>
      <c r="AJ34" s="8"/>
      <c r="AK34" s="4"/>
      <c r="AL34" s="8"/>
      <c r="AM34" s="4"/>
      <c r="AN34" s="8"/>
      <c r="AO34" s="8"/>
    </row>
    <row r="35" spans="1:41" ht="15" x14ac:dyDescent="0.25">
      <c r="A35" s="4"/>
      <c r="B35" s="21"/>
      <c r="C35" s="26"/>
      <c r="D35" s="31"/>
      <c r="E35" s="4"/>
      <c r="F35" s="4"/>
      <c r="G35" s="4"/>
      <c r="H35" s="4"/>
      <c r="I35" s="4"/>
      <c r="J35" s="6"/>
      <c r="K35" s="4"/>
      <c r="L35" s="4"/>
      <c r="M35" s="6"/>
      <c r="N35" s="30"/>
      <c r="O35" s="7"/>
      <c r="P35" s="8"/>
      <c r="Q35" s="4"/>
      <c r="R35" s="8"/>
      <c r="S35" s="4"/>
      <c r="T35" s="7"/>
      <c r="U35" s="8"/>
      <c r="V35" s="4"/>
      <c r="W35" s="8"/>
      <c r="X35" s="4"/>
      <c r="Y35" s="4"/>
      <c r="Z35" s="8"/>
      <c r="AA35" s="4"/>
      <c r="AB35" s="8"/>
      <c r="AC35" s="4"/>
      <c r="AD35" s="7"/>
      <c r="AE35" s="8"/>
      <c r="AF35" s="4"/>
      <c r="AG35" s="8"/>
      <c r="AH35" s="4"/>
      <c r="AI35" s="4"/>
      <c r="AJ35" s="8"/>
      <c r="AK35" s="4"/>
      <c r="AL35" s="8"/>
      <c r="AM35" s="4"/>
      <c r="AN35" s="8"/>
      <c r="AO35" s="8"/>
    </row>
    <row r="36" spans="1:41" ht="15" x14ac:dyDescent="0.25">
      <c r="A36" s="4"/>
      <c r="B36" s="21"/>
      <c r="C36" s="26"/>
      <c r="D36" s="22"/>
      <c r="E36" s="4"/>
      <c r="F36" s="4"/>
      <c r="G36" s="4"/>
      <c r="H36" s="4"/>
      <c r="I36" s="4"/>
      <c r="J36" s="6"/>
      <c r="K36" s="4"/>
      <c r="L36" s="4"/>
      <c r="M36" s="4"/>
      <c r="N36" s="30"/>
      <c r="O36" s="7"/>
      <c r="P36" s="8"/>
      <c r="Q36" s="4"/>
      <c r="R36" s="8"/>
      <c r="S36" s="4"/>
      <c r="T36" s="7"/>
      <c r="U36" s="8"/>
      <c r="V36" s="4"/>
      <c r="W36" s="8"/>
      <c r="X36" s="4"/>
      <c r="Y36" s="4"/>
      <c r="Z36" s="8"/>
      <c r="AA36" s="4"/>
      <c r="AB36" s="8"/>
      <c r="AC36" s="4"/>
      <c r="AD36" s="7"/>
      <c r="AE36" s="8"/>
      <c r="AF36" s="4"/>
      <c r="AG36" s="8"/>
      <c r="AH36" s="4"/>
      <c r="AI36" s="4"/>
      <c r="AJ36" s="8"/>
      <c r="AK36" s="4"/>
      <c r="AL36" s="8"/>
      <c r="AM36" s="4"/>
      <c r="AN36" s="8"/>
      <c r="AO36" s="8"/>
    </row>
    <row r="37" spans="1:41" ht="15" x14ac:dyDescent="0.25">
      <c r="A37" s="4"/>
      <c r="B37" s="21"/>
      <c r="C37" s="26"/>
      <c r="D37" s="22"/>
      <c r="E37" s="4"/>
      <c r="F37" s="4"/>
      <c r="G37" s="4"/>
      <c r="H37" s="4"/>
      <c r="I37" s="4"/>
      <c r="J37" s="6"/>
      <c r="K37" s="4"/>
      <c r="L37" s="4"/>
      <c r="M37" s="6"/>
      <c r="N37" s="30"/>
      <c r="O37" s="7"/>
      <c r="P37" s="8"/>
      <c r="Q37" s="4"/>
      <c r="R37" s="8"/>
      <c r="S37" s="4"/>
      <c r="T37" s="7"/>
      <c r="U37" s="8"/>
      <c r="V37" s="4"/>
      <c r="W37" s="8"/>
      <c r="X37" s="4"/>
      <c r="Y37" s="4"/>
      <c r="Z37" s="8"/>
      <c r="AA37" s="4"/>
      <c r="AB37" s="8"/>
      <c r="AC37" s="4"/>
      <c r="AD37" s="7"/>
      <c r="AE37" s="8"/>
      <c r="AF37" s="4"/>
      <c r="AG37" s="8"/>
      <c r="AH37" s="4"/>
      <c r="AI37" s="4"/>
      <c r="AJ37" s="8"/>
      <c r="AK37" s="4"/>
      <c r="AL37" s="8"/>
      <c r="AM37" s="4"/>
      <c r="AN37" s="8"/>
      <c r="AO37" s="8"/>
    </row>
    <row r="38" spans="1:41" s="39" customFormat="1" ht="15" x14ac:dyDescent="0.25">
      <c r="A38" s="32"/>
      <c r="B38" s="33"/>
      <c r="C38" s="34"/>
      <c r="D38" s="34"/>
      <c r="E38" s="32"/>
      <c r="F38" s="35"/>
      <c r="G38" s="32"/>
      <c r="H38" s="32"/>
      <c r="I38" s="32"/>
      <c r="J38" s="36"/>
      <c r="K38" s="32"/>
      <c r="L38" s="32"/>
      <c r="M38" s="36"/>
      <c r="N38" s="37"/>
      <c r="O38" s="38"/>
      <c r="P38" s="32"/>
      <c r="Q38" s="32"/>
      <c r="R38" s="32"/>
      <c r="S38" s="32"/>
      <c r="T38" s="38"/>
      <c r="U38" s="32"/>
      <c r="V38" s="32"/>
      <c r="W38" s="32"/>
      <c r="X38" s="32"/>
      <c r="Y38" s="32"/>
      <c r="Z38" s="32"/>
      <c r="AA38" s="32"/>
      <c r="AB38" s="32"/>
      <c r="AC38" s="32"/>
      <c r="AD38" s="38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x14ac:dyDescent="0.25">
      <c r="A39" s="4"/>
      <c r="B39" s="21"/>
      <c r="C39" s="4"/>
      <c r="D39" s="4"/>
      <c r="E39" s="4"/>
      <c r="F39" s="4"/>
      <c r="G39" s="4"/>
      <c r="H39" s="4"/>
      <c r="I39" s="4"/>
      <c r="J39" s="6"/>
      <c r="K39" s="4"/>
      <c r="L39" s="4"/>
      <c r="M39" s="36"/>
      <c r="N39" s="30"/>
      <c r="O39" s="7"/>
      <c r="P39" s="8"/>
      <c r="Q39" s="4"/>
      <c r="R39" s="8"/>
      <c r="S39" s="4"/>
      <c r="T39" s="7"/>
      <c r="U39" s="8"/>
      <c r="V39" s="4"/>
      <c r="W39" s="8"/>
      <c r="X39" s="4"/>
      <c r="Y39" s="4"/>
      <c r="Z39" s="8"/>
      <c r="AA39" s="4"/>
      <c r="AB39" s="8"/>
      <c r="AC39" s="4"/>
      <c r="AD39" s="7"/>
      <c r="AE39" s="8"/>
      <c r="AF39" s="4"/>
      <c r="AG39" s="8"/>
      <c r="AH39" s="4"/>
      <c r="AI39" s="4"/>
      <c r="AJ39" s="8"/>
      <c r="AK39" s="4"/>
      <c r="AL39" s="8"/>
      <c r="AM39" s="4"/>
      <c r="AN39" s="8"/>
      <c r="AO39" s="8"/>
    </row>
    <row r="40" spans="1:41" x14ac:dyDescent="0.25">
      <c r="A40" s="4"/>
      <c r="B40" s="21"/>
      <c r="C40" s="4"/>
      <c r="D40" s="4"/>
      <c r="E40" s="4"/>
      <c r="F40" s="4"/>
      <c r="G40" s="4"/>
      <c r="H40" s="10"/>
      <c r="I40" s="4"/>
      <c r="J40" s="6"/>
      <c r="K40" s="4"/>
      <c r="L40" s="4"/>
      <c r="M40" s="36"/>
      <c r="N40" s="4"/>
      <c r="O40" s="7"/>
      <c r="P40" s="8"/>
      <c r="Q40" s="4"/>
      <c r="R40" s="8"/>
      <c r="S40" s="4"/>
      <c r="T40" s="7"/>
      <c r="U40" s="8"/>
      <c r="V40" s="4"/>
      <c r="W40" s="8"/>
      <c r="X40" s="4"/>
      <c r="Y40" s="4"/>
      <c r="Z40" s="8"/>
      <c r="AA40" s="4"/>
      <c r="AB40" s="8"/>
      <c r="AC40" s="4"/>
      <c r="AD40" s="4"/>
      <c r="AE40" s="8"/>
      <c r="AF40" s="4"/>
      <c r="AG40" s="8"/>
      <c r="AH40" s="4"/>
      <c r="AI40" s="4"/>
      <c r="AJ40" s="8"/>
      <c r="AK40" s="4"/>
      <c r="AL40" s="8"/>
      <c r="AM40" s="4"/>
      <c r="AN40" s="8"/>
      <c r="AO40" s="8"/>
    </row>
    <row r="41" spans="1:41" ht="15" x14ac:dyDescent="0.25">
      <c r="A41" s="4"/>
      <c r="B41" s="21"/>
      <c r="C41" s="27"/>
      <c r="D41" s="22"/>
      <c r="E41" s="4"/>
      <c r="F41" s="4"/>
      <c r="G41" s="4"/>
      <c r="H41" s="4"/>
      <c r="I41" s="4"/>
      <c r="J41" s="6"/>
      <c r="K41" s="4"/>
      <c r="L41" s="4"/>
      <c r="M41" s="36"/>
      <c r="N41" s="4"/>
      <c r="O41" s="4"/>
      <c r="P41" s="8"/>
      <c r="Q41" s="4"/>
      <c r="R41" s="4"/>
      <c r="S41" s="4"/>
      <c r="T41" s="7"/>
      <c r="U41" s="8"/>
      <c r="V41" s="4"/>
      <c r="W41" s="4"/>
      <c r="X41" s="4"/>
      <c r="Y41" s="4"/>
      <c r="Z41" s="4"/>
      <c r="AA41" s="4"/>
      <c r="AB41" s="4"/>
      <c r="AC41" s="4"/>
      <c r="AD41" s="7"/>
      <c r="AE41" s="8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ht="15" x14ac:dyDescent="0.25">
      <c r="A42" s="4"/>
      <c r="B42" s="21"/>
      <c r="C42" s="4"/>
      <c r="D42" s="2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8"/>
      <c r="Q42" s="4"/>
      <c r="R42" s="4"/>
      <c r="S42" s="4"/>
      <c r="T42" s="4"/>
      <c r="U42" s="8"/>
      <c r="V42" s="4"/>
      <c r="W42" s="4"/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ht="15" x14ac:dyDescent="0.25">
      <c r="A43" s="4"/>
      <c r="B43" s="21"/>
      <c r="C43" s="26"/>
      <c r="D43" s="22"/>
      <c r="E43" s="4"/>
      <c r="F43" s="10"/>
      <c r="G43" s="4"/>
      <c r="H43" s="4"/>
      <c r="I43" s="4"/>
      <c r="J43" s="30"/>
      <c r="K43" s="4"/>
      <c r="L43" s="4"/>
      <c r="M43" s="30"/>
      <c r="N43" s="4"/>
      <c r="O43" s="7"/>
      <c r="P43" s="8"/>
      <c r="Q43" s="4"/>
      <c r="R43" s="4"/>
      <c r="S43" s="4"/>
      <c r="T43" s="7"/>
      <c r="U43" s="8"/>
      <c r="V43" s="4"/>
      <c r="W43" s="4"/>
      <c r="X43" s="4"/>
      <c r="Y43" s="4"/>
      <c r="Z43" s="4"/>
      <c r="AA43" s="4"/>
      <c r="AB43" s="4"/>
      <c r="AC43" s="4"/>
      <c r="AD43" s="7"/>
      <c r="AE43" s="8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ht="15" x14ac:dyDescent="0.25">
      <c r="A44" s="4"/>
      <c r="B44" s="21"/>
      <c r="C44" s="4"/>
      <c r="D44" s="2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ht="15" x14ac:dyDescent="0.25">
      <c r="A45" s="4"/>
      <c r="B45" s="21"/>
      <c r="C45" s="4"/>
      <c r="D45" s="2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ht="15" x14ac:dyDescent="0.25">
      <c r="A46" s="4"/>
      <c r="B46" s="21"/>
      <c r="C46" s="26"/>
      <c r="D46" s="22"/>
      <c r="E46" s="4"/>
      <c r="F46" s="1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ht="15" x14ac:dyDescent="0.25">
      <c r="A47" s="4"/>
      <c r="B47" s="21"/>
      <c r="C47" s="26"/>
      <c r="D47" s="22"/>
      <c r="E47" s="4"/>
      <c r="F47" s="10"/>
      <c r="G47" s="4"/>
      <c r="H47" s="4"/>
      <c r="I47" s="4"/>
      <c r="J47" s="20"/>
      <c r="K47" s="4"/>
      <c r="L47" s="4"/>
      <c r="M47" s="2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ht="60.75" customHeight="1" x14ac:dyDescent="0.25">
      <c r="A48" s="4"/>
      <c r="B48" s="21"/>
      <c r="C48" s="26"/>
      <c r="D48" s="22"/>
      <c r="E48" s="4"/>
      <c r="F48" s="10"/>
      <c r="G48" s="4"/>
      <c r="H48" s="4"/>
      <c r="I48" s="4"/>
      <c r="J48" s="20"/>
      <c r="K48" s="4"/>
      <c r="L48" s="4"/>
      <c r="M48" s="20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5" x14ac:dyDescent="0.25">
      <c r="A49" s="4"/>
      <c r="B49" s="21"/>
      <c r="C49" s="26"/>
      <c r="D49" s="31"/>
      <c r="E49" s="4"/>
      <c r="F49" s="10"/>
      <c r="G49" s="4"/>
      <c r="H49" s="4"/>
      <c r="I49" s="4"/>
      <c r="J49" s="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5" x14ac:dyDescent="0.25">
      <c r="A50" s="4"/>
      <c r="B50" s="21"/>
      <c r="C50" s="26"/>
      <c r="D50" s="3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5" x14ac:dyDescent="0.25">
      <c r="A51" s="4"/>
      <c r="B51" s="21"/>
      <c r="C51" s="26"/>
      <c r="D51" s="3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ht="15" x14ac:dyDescent="0.25">
      <c r="A52" s="4"/>
      <c r="B52" s="21"/>
      <c r="C52" s="26"/>
      <c r="D52" s="3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5" x14ac:dyDescent="0.25">
      <c r="A53" s="4"/>
      <c r="B53" s="21"/>
      <c r="C53" s="26"/>
      <c r="D53" s="3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</sheetData>
  <mergeCells count="32">
    <mergeCell ref="AN3:AO3"/>
    <mergeCell ref="AN2:AO2"/>
    <mergeCell ref="E1:E4"/>
    <mergeCell ref="I1:I4"/>
    <mergeCell ref="J1:J4"/>
    <mergeCell ref="K1:K4"/>
    <mergeCell ref="M1:M4"/>
    <mergeCell ref="N1:N4"/>
    <mergeCell ref="O1:AM1"/>
    <mergeCell ref="AD3:AE3"/>
    <mergeCell ref="AF3:AH3"/>
    <mergeCell ref="AI3:AJ3"/>
    <mergeCell ref="AK3:AM3"/>
    <mergeCell ref="H1:H4"/>
    <mergeCell ref="O3:P3"/>
    <mergeCell ref="Q3:S3"/>
    <mergeCell ref="O2:S2"/>
    <mergeCell ref="T2:X2"/>
    <mergeCell ref="Y2:AC2"/>
    <mergeCell ref="A1:A4"/>
    <mergeCell ref="C1:C4"/>
    <mergeCell ref="D1:D4"/>
    <mergeCell ref="F1:F4"/>
    <mergeCell ref="G1:G4"/>
    <mergeCell ref="B1:B4"/>
    <mergeCell ref="L1:L4"/>
    <mergeCell ref="AD2:AH2"/>
    <mergeCell ref="AI2:AM2"/>
    <mergeCell ref="T3:U3"/>
    <mergeCell ref="V3:X3"/>
    <mergeCell ref="Y3:Z3"/>
    <mergeCell ref="AA3:A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Views>
    <sheetView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F30" sqref="F30"/>
    </sheetView>
  </sheetViews>
  <sheetFormatPr defaultRowHeight="12.75" x14ac:dyDescent="0.25"/>
  <cols>
    <col min="1" max="1" width="8.140625" style="1" bestFit="1" customWidth="1"/>
    <col min="2" max="2" width="8.140625" style="1" customWidth="1"/>
    <col min="3" max="3" width="15" style="1" customWidth="1"/>
    <col min="4" max="4" width="26.140625" style="1" bestFit="1" customWidth="1"/>
    <col min="5" max="5" width="30.7109375" style="1" bestFit="1" customWidth="1"/>
    <col min="6" max="6" width="64" style="1" customWidth="1"/>
    <col min="7" max="7" width="27" style="1" bestFit="1" customWidth="1"/>
    <col min="8" max="8" width="39.7109375" style="1" bestFit="1" customWidth="1"/>
    <col min="9" max="9" width="16" style="1" customWidth="1"/>
    <col min="10" max="10" width="16.7109375" style="1" bestFit="1" customWidth="1"/>
    <col min="11" max="11" width="10.85546875" style="1" bestFit="1" customWidth="1"/>
    <col min="12" max="12" width="10.85546875" style="1" customWidth="1"/>
    <col min="13" max="13" width="22.85546875" style="1" bestFit="1" customWidth="1"/>
    <col min="14" max="14" width="11.85546875" style="1" bestFit="1" customWidth="1"/>
    <col min="15" max="16" width="14.7109375" style="1" bestFit="1" customWidth="1"/>
    <col min="17" max="17" width="12.85546875" style="1" bestFit="1" customWidth="1"/>
    <col min="18" max="18" width="14.7109375" style="1" bestFit="1" customWidth="1"/>
    <col min="19" max="19" width="16.28515625" style="1" bestFit="1" customWidth="1"/>
    <col min="20" max="20" width="12.85546875" style="1" bestFit="1" customWidth="1"/>
    <col min="21" max="21" width="14.7109375" style="1" bestFit="1" customWidth="1"/>
    <col min="22" max="22" width="12.85546875" style="1" bestFit="1" customWidth="1"/>
    <col min="23" max="23" width="14.7109375" style="1" bestFit="1" customWidth="1"/>
    <col min="24" max="24" width="16.28515625" style="1" bestFit="1" customWidth="1"/>
    <col min="25" max="25" width="12.85546875" style="1" bestFit="1" customWidth="1"/>
    <col min="26" max="26" width="14.7109375" style="1" bestFit="1" customWidth="1"/>
    <col min="27" max="27" width="12.85546875" style="1" bestFit="1" customWidth="1"/>
    <col min="28" max="28" width="14.7109375" style="1" bestFit="1" customWidth="1"/>
    <col min="29" max="29" width="16.28515625" style="1" bestFit="1" customWidth="1"/>
    <col min="30" max="30" width="12.85546875" style="1" bestFit="1" customWidth="1"/>
    <col min="31" max="31" width="14.7109375" style="1" bestFit="1" customWidth="1"/>
    <col min="32" max="32" width="12.85546875" style="1" bestFit="1" customWidth="1"/>
    <col min="33" max="33" width="14.7109375" style="1" bestFit="1" customWidth="1"/>
    <col min="34" max="34" width="16.28515625" style="1" bestFit="1" customWidth="1"/>
    <col min="35" max="35" width="12.85546875" style="1" bestFit="1" customWidth="1"/>
    <col min="36" max="36" width="14.7109375" style="1" bestFit="1" customWidth="1"/>
    <col min="37" max="37" width="12.85546875" style="1" bestFit="1" customWidth="1"/>
    <col min="38" max="38" width="14.7109375" style="1" bestFit="1" customWidth="1"/>
    <col min="39" max="39" width="16.28515625" style="1" bestFit="1" customWidth="1"/>
    <col min="40" max="40" width="13.85546875" style="1" customWidth="1"/>
    <col min="41" max="41" width="14.7109375" style="1" bestFit="1" customWidth="1"/>
    <col min="42" max="16384" width="9.140625" style="1"/>
  </cols>
  <sheetData>
    <row r="1" spans="1:41" s="2" customFormat="1" ht="15" x14ac:dyDescent="0.25">
      <c r="A1" s="44" t="s">
        <v>0</v>
      </c>
      <c r="B1" s="44" t="s">
        <v>64</v>
      </c>
      <c r="C1" s="44" t="s">
        <v>1</v>
      </c>
      <c r="D1" s="44" t="s">
        <v>18</v>
      </c>
      <c r="E1" s="44" t="s">
        <v>25</v>
      </c>
      <c r="F1" s="44" t="s">
        <v>3</v>
      </c>
      <c r="G1" s="44" t="s">
        <v>17</v>
      </c>
      <c r="H1" s="44" t="s">
        <v>15</v>
      </c>
      <c r="I1" s="44" t="s">
        <v>2</v>
      </c>
      <c r="J1" s="44" t="s">
        <v>5</v>
      </c>
      <c r="K1" s="49" t="s">
        <v>65</v>
      </c>
      <c r="L1" s="44" t="s">
        <v>66</v>
      </c>
      <c r="M1" s="44" t="s">
        <v>6</v>
      </c>
      <c r="N1" s="44" t="s">
        <v>13</v>
      </c>
      <c r="O1" s="52" t="s">
        <v>20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4"/>
    </row>
    <row r="2" spans="1:41" s="2" customFormat="1" ht="1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50"/>
      <c r="L2" s="45"/>
      <c r="M2" s="45"/>
      <c r="N2" s="45"/>
      <c r="O2" s="41" t="s">
        <v>7</v>
      </c>
      <c r="P2" s="41"/>
      <c r="Q2" s="41"/>
      <c r="R2" s="41"/>
      <c r="S2" s="41"/>
      <c r="T2" s="40" t="s">
        <v>8</v>
      </c>
      <c r="U2" s="40"/>
      <c r="V2" s="40"/>
      <c r="W2" s="40"/>
      <c r="X2" s="40"/>
      <c r="Y2" s="41" t="s">
        <v>9</v>
      </c>
      <c r="Z2" s="41"/>
      <c r="AA2" s="41"/>
      <c r="AB2" s="41"/>
      <c r="AC2" s="41"/>
      <c r="AD2" s="40" t="s">
        <v>10</v>
      </c>
      <c r="AE2" s="40"/>
      <c r="AF2" s="40"/>
      <c r="AG2" s="40"/>
      <c r="AH2" s="40"/>
      <c r="AI2" s="41" t="s">
        <v>11</v>
      </c>
      <c r="AJ2" s="41"/>
      <c r="AK2" s="41"/>
      <c r="AL2" s="41"/>
      <c r="AM2" s="41"/>
      <c r="AN2" s="47" t="s">
        <v>14</v>
      </c>
      <c r="AO2" s="48"/>
    </row>
    <row r="3" spans="1:41" s="2" customFormat="1" ht="1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50"/>
      <c r="L3" s="45"/>
      <c r="M3" s="45"/>
      <c r="N3" s="45"/>
      <c r="O3" s="42" t="s">
        <v>21</v>
      </c>
      <c r="P3" s="42"/>
      <c r="Q3" s="43" t="s">
        <v>22</v>
      </c>
      <c r="R3" s="43"/>
      <c r="S3" s="43"/>
      <c r="T3" s="42" t="s">
        <v>21</v>
      </c>
      <c r="U3" s="42"/>
      <c r="V3" s="43" t="s">
        <v>22</v>
      </c>
      <c r="W3" s="43"/>
      <c r="X3" s="43"/>
      <c r="Y3" s="42" t="s">
        <v>21</v>
      </c>
      <c r="Z3" s="42"/>
      <c r="AA3" s="43" t="s">
        <v>22</v>
      </c>
      <c r="AB3" s="43"/>
      <c r="AC3" s="43"/>
      <c r="AD3" s="42" t="s">
        <v>21</v>
      </c>
      <c r="AE3" s="42"/>
      <c r="AF3" s="43" t="s">
        <v>22</v>
      </c>
      <c r="AG3" s="43"/>
      <c r="AH3" s="43"/>
      <c r="AI3" s="42" t="s">
        <v>21</v>
      </c>
      <c r="AJ3" s="42"/>
      <c r="AK3" s="43" t="s">
        <v>22</v>
      </c>
      <c r="AL3" s="43"/>
      <c r="AM3" s="43"/>
      <c r="AN3" s="43" t="s">
        <v>22</v>
      </c>
      <c r="AO3" s="43"/>
    </row>
    <row r="4" spans="1:41" s="2" customFormat="1" ht="15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51"/>
      <c r="L4" s="46"/>
      <c r="M4" s="46"/>
      <c r="N4" s="46"/>
      <c r="O4" s="3" t="s">
        <v>12</v>
      </c>
      <c r="P4" s="3" t="s">
        <v>19</v>
      </c>
      <c r="Q4" s="3" t="s">
        <v>12</v>
      </c>
      <c r="R4" s="3" t="s">
        <v>19</v>
      </c>
      <c r="S4" s="3" t="s">
        <v>16</v>
      </c>
      <c r="T4" s="3" t="s">
        <v>12</v>
      </c>
      <c r="U4" s="3" t="s">
        <v>19</v>
      </c>
      <c r="V4" s="3" t="s">
        <v>12</v>
      </c>
      <c r="W4" s="3" t="s">
        <v>19</v>
      </c>
      <c r="X4" s="3" t="s">
        <v>16</v>
      </c>
      <c r="Y4" s="3" t="s">
        <v>12</v>
      </c>
      <c r="Z4" s="3" t="s">
        <v>19</v>
      </c>
      <c r="AA4" s="3" t="s">
        <v>12</v>
      </c>
      <c r="AB4" s="3" t="s">
        <v>19</v>
      </c>
      <c r="AC4" s="3" t="s">
        <v>16</v>
      </c>
      <c r="AD4" s="3" t="s">
        <v>12</v>
      </c>
      <c r="AE4" s="3" t="s">
        <v>19</v>
      </c>
      <c r="AF4" s="3" t="s">
        <v>12</v>
      </c>
      <c r="AG4" s="3" t="s">
        <v>19</v>
      </c>
      <c r="AH4" s="3" t="s">
        <v>16</v>
      </c>
      <c r="AI4" s="3" t="s">
        <v>12</v>
      </c>
      <c r="AJ4" s="3" t="s">
        <v>19</v>
      </c>
      <c r="AK4" s="3" t="s">
        <v>12</v>
      </c>
      <c r="AL4" s="3" t="s">
        <v>19</v>
      </c>
      <c r="AM4" s="3" t="s">
        <v>16</v>
      </c>
      <c r="AN4" s="3" t="s">
        <v>12</v>
      </c>
      <c r="AO4" s="3" t="s">
        <v>19</v>
      </c>
    </row>
    <row r="5" spans="1:41" ht="12.75" customHeight="1" x14ac:dyDescent="0.25">
      <c r="A5" s="4"/>
      <c r="B5" s="4"/>
      <c r="C5" s="4"/>
      <c r="D5" s="4"/>
      <c r="E5" s="4"/>
      <c r="F5" s="4" t="s">
        <v>4</v>
      </c>
      <c r="G5" s="4"/>
      <c r="H5" s="4"/>
      <c r="I5" s="4"/>
      <c r="J5" s="4"/>
      <c r="K5" s="4"/>
      <c r="L5" s="4"/>
      <c r="M5" s="4"/>
      <c r="N5" s="4"/>
      <c r="O5" s="4" t="s">
        <v>23</v>
      </c>
      <c r="P5" s="4"/>
      <c r="Q5" s="4" t="s">
        <v>24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>
        <v>0</v>
      </c>
      <c r="AJ5" s="4"/>
      <c r="AK5" s="4"/>
      <c r="AL5" s="4"/>
      <c r="AM5" s="4"/>
      <c r="AN5" s="4"/>
      <c r="AO5" s="4"/>
    </row>
    <row r="6" spans="1:41" s="12" customFormat="1" x14ac:dyDescent="0.25">
      <c r="A6" s="13" t="s">
        <v>58</v>
      </c>
      <c r="B6" s="13"/>
      <c r="C6" s="14" t="s">
        <v>59</v>
      </c>
      <c r="D6" s="14" t="s">
        <v>60</v>
      </c>
      <c r="E6" s="14" t="s">
        <v>61</v>
      </c>
      <c r="F6" s="14" t="s">
        <v>62</v>
      </c>
      <c r="G6" s="14">
        <v>12345</v>
      </c>
      <c r="H6" s="14" t="s">
        <v>63</v>
      </c>
      <c r="I6" s="14" t="s">
        <v>54</v>
      </c>
      <c r="J6" s="15">
        <v>45752</v>
      </c>
      <c r="K6" s="14">
        <v>500000</v>
      </c>
      <c r="L6" s="14"/>
      <c r="M6" s="15">
        <v>45755</v>
      </c>
      <c r="N6" s="15">
        <v>45759</v>
      </c>
      <c r="O6" s="16">
        <v>0.5</v>
      </c>
      <c r="P6" s="14">
        <f t="shared" ref="P6:P25" si="0">K6*O6</f>
        <v>250000</v>
      </c>
      <c r="Q6" s="17">
        <v>0.2</v>
      </c>
      <c r="R6" s="14">
        <f t="shared" ref="R6:R23" si="1">K6*Q6</f>
        <v>100000</v>
      </c>
      <c r="S6" s="14"/>
      <c r="T6" s="14"/>
      <c r="U6" s="14">
        <f t="shared" ref="U6:U25" si="2">K6*T6</f>
        <v>0</v>
      </c>
      <c r="V6" s="14"/>
      <c r="W6" s="14">
        <f>K6*V6</f>
        <v>0</v>
      </c>
      <c r="X6" s="14"/>
      <c r="Y6" s="14"/>
      <c r="Z6" s="14">
        <f>K6*Y6</f>
        <v>0</v>
      </c>
      <c r="AA6" s="14"/>
      <c r="AB6" s="14">
        <f>K6*AA6</f>
        <v>0</v>
      </c>
      <c r="AC6" s="14"/>
      <c r="AD6" s="14"/>
      <c r="AE6" s="14">
        <f>K6*AD6</f>
        <v>0</v>
      </c>
      <c r="AF6" s="14"/>
      <c r="AG6" s="14">
        <f>K6*AF6</f>
        <v>0</v>
      </c>
      <c r="AH6" s="14"/>
      <c r="AI6" s="14"/>
      <c r="AJ6" s="14">
        <f>K6*AI6</f>
        <v>0</v>
      </c>
      <c r="AK6" s="17">
        <v>0.01</v>
      </c>
      <c r="AL6" s="14">
        <f>K6*AK6</f>
        <v>5000</v>
      </c>
      <c r="AM6" s="14"/>
      <c r="AN6" s="16">
        <f>SUM(Q6+V6+AA6+AF6+AK6)</f>
        <v>0.21000000000000002</v>
      </c>
      <c r="AO6" s="18">
        <f>SUM(R6+W6+AB6+AG6+AL6)</f>
        <v>105000</v>
      </c>
    </row>
    <row r="7" spans="1:41" ht="25.5" x14ac:dyDescent="0.25">
      <c r="A7" s="5">
        <v>1</v>
      </c>
      <c r="B7" s="19">
        <v>45748</v>
      </c>
      <c r="C7" s="4" t="s">
        <v>27</v>
      </c>
      <c r="D7" s="4" t="s">
        <v>28</v>
      </c>
      <c r="E7" s="4" t="s">
        <v>29</v>
      </c>
      <c r="F7" s="10" t="s">
        <v>30</v>
      </c>
      <c r="G7" s="4">
        <v>1400002266</v>
      </c>
      <c r="H7" s="4" t="s">
        <v>31</v>
      </c>
      <c r="I7" s="4" t="s">
        <v>32</v>
      </c>
      <c r="J7" s="6">
        <v>45745</v>
      </c>
      <c r="K7" s="4">
        <v>1467840</v>
      </c>
      <c r="L7" s="4">
        <f>K7*18%</f>
        <v>264211.20000000001</v>
      </c>
      <c r="M7" s="6">
        <v>45752</v>
      </c>
      <c r="N7" s="6"/>
      <c r="O7" s="7">
        <v>0.2</v>
      </c>
      <c r="P7" s="8">
        <f t="shared" si="0"/>
        <v>293568</v>
      </c>
      <c r="Q7" s="7">
        <v>0.2</v>
      </c>
      <c r="R7" s="8">
        <f t="shared" si="1"/>
        <v>293568</v>
      </c>
      <c r="S7" s="4"/>
      <c r="T7" s="7">
        <v>0.6</v>
      </c>
      <c r="U7" s="8">
        <f t="shared" si="2"/>
        <v>880704</v>
      </c>
      <c r="V7" s="4"/>
      <c r="W7" s="8">
        <f>K7*V7</f>
        <v>0</v>
      </c>
      <c r="X7" s="4"/>
      <c r="Y7" s="4">
        <v>0</v>
      </c>
      <c r="Z7" s="8">
        <v>0</v>
      </c>
      <c r="AA7" s="4"/>
      <c r="AB7" s="8">
        <f>K7*AA7</f>
        <v>0</v>
      </c>
      <c r="AC7" s="4"/>
      <c r="AD7" s="7">
        <v>0.2</v>
      </c>
      <c r="AE7" s="8">
        <f>K7*AD7</f>
        <v>293568</v>
      </c>
      <c r="AF7" s="4"/>
      <c r="AG7" s="8">
        <f>K7*AF7</f>
        <v>0</v>
      </c>
      <c r="AH7" s="4"/>
      <c r="AI7" s="4">
        <v>0</v>
      </c>
      <c r="AJ7" s="8">
        <f>K7*AI7</f>
        <v>0</v>
      </c>
      <c r="AK7" s="7"/>
      <c r="AL7" s="8">
        <f t="shared" ref="AL7:AL23" si="3">K7*AK7</f>
        <v>0</v>
      </c>
      <c r="AM7" s="4"/>
      <c r="AN7" s="11">
        <f>SUM(Q7+V7+AA7+AF7+AK7)</f>
        <v>0.2</v>
      </c>
      <c r="AO7" s="8">
        <f>SUM(R7+W7+AB7+AG7+AL7)</f>
        <v>293568</v>
      </c>
    </row>
    <row r="8" spans="1:41" x14ac:dyDescent="0.25">
      <c r="A8" s="5">
        <v>2</v>
      </c>
      <c r="B8" s="19">
        <v>45748</v>
      </c>
      <c r="C8" s="4" t="s">
        <v>33</v>
      </c>
      <c r="D8" s="4" t="s">
        <v>34</v>
      </c>
      <c r="E8" s="4" t="s">
        <v>29</v>
      </c>
      <c r="F8" s="4" t="s">
        <v>35</v>
      </c>
      <c r="G8" s="4" t="s">
        <v>36</v>
      </c>
      <c r="H8" s="4" t="s">
        <v>37</v>
      </c>
      <c r="I8" s="4" t="s">
        <v>32</v>
      </c>
      <c r="J8" s="6">
        <v>45759</v>
      </c>
      <c r="K8" s="4">
        <v>135000</v>
      </c>
      <c r="L8" s="4">
        <f t="shared" ref="L8:L25" si="4">K8*18%</f>
        <v>24300</v>
      </c>
      <c r="M8" s="6">
        <v>45760</v>
      </c>
      <c r="N8" s="6">
        <v>45760</v>
      </c>
      <c r="O8" s="7">
        <v>0.3</v>
      </c>
      <c r="P8" s="8">
        <f t="shared" si="0"/>
        <v>40500</v>
      </c>
      <c r="Q8" s="7">
        <v>0.3</v>
      </c>
      <c r="R8" s="8">
        <f t="shared" si="1"/>
        <v>40500</v>
      </c>
      <c r="S8" s="4"/>
      <c r="T8" s="7">
        <v>0.6</v>
      </c>
      <c r="U8" s="8">
        <f t="shared" si="2"/>
        <v>81000</v>
      </c>
      <c r="V8" s="4"/>
      <c r="W8" s="8">
        <f t="shared" ref="W8:W18" si="5">K8*V8</f>
        <v>0</v>
      </c>
      <c r="X8" s="4"/>
      <c r="Y8" s="4"/>
      <c r="Z8" s="8">
        <f t="shared" ref="Z8:Z23" si="6">K8*Y8</f>
        <v>0</v>
      </c>
      <c r="AA8" s="4"/>
      <c r="AB8" s="8">
        <f t="shared" ref="AB8:AB18" si="7">K8*AA8</f>
        <v>0</v>
      </c>
      <c r="AC8" s="4"/>
      <c r="AD8" s="7">
        <v>0.1</v>
      </c>
      <c r="AE8" s="8">
        <f t="shared" ref="AE8:AE25" si="8">K8*AD8</f>
        <v>13500</v>
      </c>
      <c r="AF8" s="4"/>
      <c r="AG8" s="8">
        <f t="shared" ref="AG8:AG18" si="9">K8*AF8</f>
        <v>0</v>
      </c>
      <c r="AH8" s="4"/>
      <c r="AI8" s="4">
        <v>0</v>
      </c>
      <c r="AJ8" s="8">
        <f t="shared" ref="AJ8:AJ23" si="10">K8*AI8</f>
        <v>0</v>
      </c>
      <c r="AK8" s="4"/>
      <c r="AL8" s="8">
        <f t="shared" si="3"/>
        <v>0</v>
      </c>
      <c r="AM8" s="4"/>
      <c r="AN8" s="11">
        <f t="shared" ref="AN8:AO23" si="11">SUM(Q8+V8+AA8+AF8+AK8)</f>
        <v>0.3</v>
      </c>
      <c r="AO8" s="8">
        <f t="shared" si="11"/>
        <v>40500</v>
      </c>
    </row>
    <row r="9" spans="1:41" ht="25.5" x14ac:dyDescent="0.25">
      <c r="A9" s="5">
        <v>3</v>
      </c>
      <c r="B9" s="19">
        <v>45748</v>
      </c>
      <c r="C9" s="4" t="s">
        <v>101</v>
      </c>
      <c r="D9" s="4" t="s">
        <v>38</v>
      </c>
      <c r="E9" s="4" t="s">
        <v>29</v>
      </c>
      <c r="F9" s="10" t="s">
        <v>39</v>
      </c>
      <c r="G9" s="4" t="s">
        <v>40</v>
      </c>
      <c r="H9" s="4" t="s">
        <v>41</v>
      </c>
      <c r="I9" s="4" t="s">
        <v>32</v>
      </c>
      <c r="J9" s="6">
        <v>45763</v>
      </c>
      <c r="K9" s="4">
        <v>720000</v>
      </c>
      <c r="L9" s="4">
        <f t="shared" si="4"/>
        <v>129600</v>
      </c>
      <c r="M9" s="6">
        <v>45764</v>
      </c>
      <c r="N9" s="6">
        <v>45764</v>
      </c>
      <c r="O9" s="7">
        <v>0.3</v>
      </c>
      <c r="P9" s="8">
        <f t="shared" si="0"/>
        <v>216000</v>
      </c>
      <c r="Q9" s="7">
        <v>0.3</v>
      </c>
      <c r="R9" s="8">
        <f t="shared" si="1"/>
        <v>216000</v>
      </c>
      <c r="S9" s="20">
        <v>45770</v>
      </c>
      <c r="T9" s="4"/>
      <c r="U9" s="8">
        <f t="shared" si="2"/>
        <v>0</v>
      </c>
      <c r="V9" s="4"/>
      <c r="W9" s="8">
        <f t="shared" si="5"/>
        <v>0</v>
      </c>
      <c r="X9" s="4"/>
      <c r="Y9" s="4">
        <v>0</v>
      </c>
      <c r="Z9" s="8">
        <f t="shared" si="6"/>
        <v>0</v>
      </c>
      <c r="AA9" s="4"/>
      <c r="AB9" s="8">
        <f t="shared" si="7"/>
        <v>0</v>
      </c>
      <c r="AC9" s="4"/>
      <c r="AD9" s="4">
        <v>0</v>
      </c>
      <c r="AE9" s="8">
        <f t="shared" si="8"/>
        <v>0</v>
      </c>
      <c r="AF9" s="4"/>
      <c r="AG9" s="8">
        <f t="shared" si="9"/>
        <v>0</v>
      </c>
      <c r="AH9" s="4"/>
      <c r="AI9" s="7">
        <v>0.7</v>
      </c>
      <c r="AJ9" s="8">
        <f t="shared" si="10"/>
        <v>503999.99999999994</v>
      </c>
      <c r="AK9" s="4"/>
      <c r="AL9" s="8">
        <f t="shared" si="3"/>
        <v>0</v>
      </c>
      <c r="AM9" s="4"/>
      <c r="AN9" s="11">
        <f t="shared" si="11"/>
        <v>0.3</v>
      </c>
      <c r="AO9" s="8">
        <f t="shared" si="11"/>
        <v>216000</v>
      </c>
    </row>
    <row r="10" spans="1:41" ht="25.5" x14ac:dyDescent="0.25">
      <c r="A10" s="5">
        <v>4</v>
      </c>
      <c r="B10" s="19">
        <v>45748</v>
      </c>
      <c r="C10" s="4" t="s">
        <v>101</v>
      </c>
      <c r="D10" s="4" t="s">
        <v>38</v>
      </c>
      <c r="E10" s="4" t="s">
        <v>29</v>
      </c>
      <c r="F10" s="10" t="s">
        <v>39</v>
      </c>
      <c r="G10" s="4" t="s">
        <v>42</v>
      </c>
      <c r="H10" s="4" t="s">
        <v>41</v>
      </c>
      <c r="I10" s="4" t="s">
        <v>32</v>
      </c>
      <c r="J10" s="6">
        <v>45763</v>
      </c>
      <c r="K10" s="4">
        <v>395500</v>
      </c>
      <c r="L10" s="4">
        <f t="shared" si="4"/>
        <v>71190</v>
      </c>
      <c r="M10" s="6">
        <v>45764</v>
      </c>
      <c r="N10" s="6">
        <v>45764</v>
      </c>
      <c r="O10" s="7">
        <v>0.3</v>
      </c>
      <c r="P10" s="8">
        <f t="shared" si="0"/>
        <v>118650</v>
      </c>
      <c r="Q10" s="7">
        <v>0.3</v>
      </c>
      <c r="R10" s="8">
        <f t="shared" si="1"/>
        <v>118650</v>
      </c>
      <c r="S10" s="20">
        <v>45770</v>
      </c>
      <c r="T10" s="4"/>
      <c r="U10" s="8">
        <f t="shared" si="2"/>
        <v>0</v>
      </c>
      <c r="V10" s="4"/>
      <c r="W10" s="8">
        <f t="shared" si="5"/>
        <v>0</v>
      </c>
      <c r="X10" s="4"/>
      <c r="Y10" s="4">
        <v>0</v>
      </c>
      <c r="Z10" s="8">
        <f t="shared" si="6"/>
        <v>0</v>
      </c>
      <c r="AA10" s="4"/>
      <c r="AB10" s="8">
        <f t="shared" si="7"/>
        <v>0</v>
      </c>
      <c r="AC10" s="4"/>
      <c r="AD10" s="4">
        <v>0</v>
      </c>
      <c r="AE10" s="8">
        <f t="shared" si="8"/>
        <v>0</v>
      </c>
      <c r="AF10" s="4"/>
      <c r="AG10" s="8">
        <f t="shared" si="9"/>
        <v>0</v>
      </c>
      <c r="AH10" s="4"/>
      <c r="AI10" s="4">
        <v>0</v>
      </c>
      <c r="AJ10" s="8">
        <f t="shared" si="10"/>
        <v>0</v>
      </c>
      <c r="AK10" s="4"/>
      <c r="AL10" s="8">
        <f t="shared" si="3"/>
        <v>0</v>
      </c>
      <c r="AM10" s="4"/>
      <c r="AN10" s="11">
        <f t="shared" si="11"/>
        <v>0.3</v>
      </c>
      <c r="AO10" s="8">
        <f t="shared" si="11"/>
        <v>118650</v>
      </c>
    </row>
    <row r="11" spans="1:41" ht="38.25" x14ac:dyDescent="0.25">
      <c r="A11" s="4">
        <v>5</v>
      </c>
      <c r="B11" s="19">
        <v>45748</v>
      </c>
      <c r="C11" s="4" t="s">
        <v>27</v>
      </c>
      <c r="D11" s="4" t="s">
        <v>43</v>
      </c>
      <c r="E11" s="4" t="s">
        <v>29</v>
      </c>
      <c r="F11" s="10" t="s">
        <v>46</v>
      </c>
      <c r="G11" s="4" t="s">
        <v>44</v>
      </c>
      <c r="H11" s="4" t="s">
        <v>45</v>
      </c>
      <c r="I11" s="4" t="s">
        <v>32</v>
      </c>
      <c r="J11" s="6">
        <v>45769</v>
      </c>
      <c r="K11" s="4">
        <v>270000</v>
      </c>
      <c r="L11" s="4">
        <f t="shared" si="4"/>
        <v>48600</v>
      </c>
      <c r="M11" s="6">
        <v>45771</v>
      </c>
      <c r="N11" s="6">
        <v>45783</v>
      </c>
      <c r="O11" s="7">
        <v>0.5</v>
      </c>
      <c r="P11" s="8">
        <f t="shared" si="0"/>
        <v>135000</v>
      </c>
      <c r="Q11" s="7">
        <v>0.5</v>
      </c>
      <c r="R11" s="8">
        <v>135000</v>
      </c>
      <c r="S11" s="20">
        <v>45782</v>
      </c>
      <c r="T11" s="7">
        <v>0.4</v>
      </c>
      <c r="U11" s="8">
        <f t="shared" si="2"/>
        <v>108000</v>
      </c>
      <c r="V11" s="4"/>
      <c r="W11" s="8">
        <f t="shared" si="5"/>
        <v>0</v>
      </c>
      <c r="X11" s="4"/>
      <c r="Y11" s="4"/>
      <c r="Z11" s="8">
        <f t="shared" si="6"/>
        <v>0</v>
      </c>
      <c r="AA11" s="4"/>
      <c r="AB11" s="8">
        <f t="shared" si="7"/>
        <v>0</v>
      </c>
      <c r="AC11" s="4"/>
      <c r="AD11" s="7">
        <v>0.1</v>
      </c>
      <c r="AE11" s="8">
        <f t="shared" si="8"/>
        <v>27000</v>
      </c>
      <c r="AF11" s="4"/>
      <c r="AG11" s="8">
        <f t="shared" si="9"/>
        <v>0</v>
      </c>
      <c r="AH11" s="4"/>
      <c r="AI11" s="4">
        <v>0</v>
      </c>
      <c r="AJ11" s="8">
        <f t="shared" si="10"/>
        <v>0</v>
      </c>
      <c r="AK11" s="4"/>
      <c r="AL11" s="8">
        <f t="shared" si="3"/>
        <v>0</v>
      </c>
      <c r="AM11" s="4"/>
      <c r="AN11" s="11">
        <f t="shared" si="11"/>
        <v>0.5</v>
      </c>
      <c r="AO11" s="8">
        <f t="shared" si="11"/>
        <v>135000</v>
      </c>
    </row>
    <row r="12" spans="1:41" x14ac:dyDescent="0.25">
      <c r="A12" s="4">
        <v>6</v>
      </c>
      <c r="B12" s="19">
        <v>45748</v>
      </c>
      <c r="C12" s="4" t="s">
        <v>47</v>
      </c>
      <c r="D12" s="4" t="s">
        <v>48</v>
      </c>
      <c r="E12" s="4" t="s">
        <v>29</v>
      </c>
      <c r="F12" s="4" t="s">
        <v>49</v>
      </c>
      <c r="G12" s="4">
        <v>1002000287</v>
      </c>
      <c r="H12" s="4" t="s">
        <v>50</v>
      </c>
      <c r="I12" s="4" t="s">
        <v>32</v>
      </c>
      <c r="J12" s="6">
        <v>45766</v>
      </c>
      <c r="K12" s="4">
        <v>245000</v>
      </c>
      <c r="L12" s="4">
        <f t="shared" si="4"/>
        <v>44100</v>
      </c>
      <c r="M12" s="6">
        <v>45767</v>
      </c>
      <c r="N12" s="6">
        <v>45767</v>
      </c>
      <c r="O12" s="7">
        <v>0.3</v>
      </c>
      <c r="P12" s="8">
        <f t="shared" si="0"/>
        <v>73500</v>
      </c>
      <c r="Q12" s="7">
        <v>0.3</v>
      </c>
      <c r="R12" s="8">
        <f t="shared" si="1"/>
        <v>73500</v>
      </c>
      <c r="S12" s="20">
        <v>45781</v>
      </c>
      <c r="T12" s="7">
        <v>0.6</v>
      </c>
      <c r="U12" s="8">
        <f t="shared" si="2"/>
        <v>147000</v>
      </c>
      <c r="V12" s="4"/>
      <c r="W12" s="8">
        <f t="shared" si="5"/>
        <v>0</v>
      </c>
      <c r="X12" s="4"/>
      <c r="Y12" s="4"/>
      <c r="Z12" s="8">
        <f t="shared" si="6"/>
        <v>0</v>
      </c>
      <c r="AA12" s="4"/>
      <c r="AB12" s="8">
        <f t="shared" si="7"/>
        <v>0</v>
      </c>
      <c r="AC12" s="4"/>
      <c r="AD12" s="7">
        <v>0.1</v>
      </c>
      <c r="AE12" s="8">
        <f t="shared" si="8"/>
        <v>24500</v>
      </c>
      <c r="AF12" s="4"/>
      <c r="AG12" s="8">
        <f t="shared" si="9"/>
        <v>0</v>
      </c>
      <c r="AH12" s="4"/>
      <c r="AI12" s="4">
        <v>0</v>
      </c>
      <c r="AJ12" s="8">
        <f t="shared" si="10"/>
        <v>0</v>
      </c>
      <c r="AK12" s="4"/>
      <c r="AL12" s="8">
        <f t="shared" si="3"/>
        <v>0</v>
      </c>
      <c r="AM12" s="4"/>
      <c r="AN12" s="11">
        <f t="shared" si="11"/>
        <v>0.3</v>
      </c>
      <c r="AO12" s="8">
        <f t="shared" si="11"/>
        <v>73500</v>
      </c>
    </row>
    <row r="13" spans="1:41" ht="25.5" x14ac:dyDescent="0.25">
      <c r="A13" s="4">
        <v>7</v>
      </c>
      <c r="B13" s="19">
        <v>45748</v>
      </c>
      <c r="C13" s="4" t="s">
        <v>51</v>
      </c>
      <c r="D13" s="4" t="s">
        <v>52</v>
      </c>
      <c r="E13" s="4" t="s">
        <v>29</v>
      </c>
      <c r="F13" s="10" t="s">
        <v>70</v>
      </c>
      <c r="G13" s="4">
        <v>4502698877</v>
      </c>
      <c r="H13" s="4" t="s">
        <v>53</v>
      </c>
      <c r="I13" s="4" t="s">
        <v>54</v>
      </c>
      <c r="J13" s="6">
        <v>45751</v>
      </c>
      <c r="K13" s="4">
        <v>286400</v>
      </c>
      <c r="L13" s="4">
        <f t="shared" si="4"/>
        <v>51552</v>
      </c>
      <c r="M13" s="6">
        <v>45771</v>
      </c>
      <c r="N13" s="6">
        <v>45771</v>
      </c>
      <c r="O13" s="4">
        <v>0</v>
      </c>
      <c r="P13" s="8">
        <f t="shared" si="0"/>
        <v>0</v>
      </c>
      <c r="Q13" s="4"/>
      <c r="R13" s="8">
        <f t="shared" si="1"/>
        <v>0</v>
      </c>
      <c r="S13" s="4"/>
      <c r="T13" s="4">
        <v>0</v>
      </c>
      <c r="U13" s="8">
        <f t="shared" si="2"/>
        <v>0</v>
      </c>
      <c r="V13" s="4"/>
      <c r="W13" s="8">
        <f t="shared" si="5"/>
        <v>0</v>
      </c>
      <c r="X13" s="4"/>
      <c r="Y13" s="4"/>
      <c r="Z13" s="8">
        <f t="shared" si="6"/>
        <v>0</v>
      </c>
      <c r="AA13" s="4"/>
      <c r="AB13" s="8">
        <f t="shared" si="7"/>
        <v>0</v>
      </c>
      <c r="AC13" s="4"/>
      <c r="AD13" s="7">
        <v>1</v>
      </c>
      <c r="AE13" s="8">
        <f t="shared" si="8"/>
        <v>286400</v>
      </c>
      <c r="AF13" s="4"/>
      <c r="AG13" s="8">
        <f t="shared" si="9"/>
        <v>0</v>
      </c>
      <c r="AH13" s="4"/>
      <c r="AI13" s="4">
        <v>0</v>
      </c>
      <c r="AJ13" s="8">
        <f t="shared" si="10"/>
        <v>0</v>
      </c>
      <c r="AK13" s="4"/>
      <c r="AL13" s="8">
        <f t="shared" si="3"/>
        <v>0</v>
      </c>
      <c r="AM13" s="4"/>
      <c r="AN13" s="11"/>
      <c r="AO13" s="8">
        <f t="shared" si="11"/>
        <v>0</v>
      </c>
    </row>
    <row r="14" spans="1:41" ht="38.25" x14ac:dyDescent="0.25">
      <c r="A14" s="4">
        <v>8</v>
      </c>
      <c r="B14" s="19">
        <v>45748</v>
      </c>
      <c r="C14" s="4" t="s">
        <v>55</v>
      </c>
      <c r="D14" s="4" t="s">
        <v>56</v>
      </c>
      <c r="E14" s="4" t="s">
        <v>29</v>
      </c>
      <c r="F14" s="10" t="s">
        <v>69</v>
      </c>
      <c r="G14" s="4">
        <v>5100036195</v>
      </c>
      <c r="H14" s="4" t="s">
        <v>57</v>
      </c>
      <c r="I14" s="4" t="s">
        <v>54</v>
      </c>
      <c r="J14" s="6">
        <v>45636</v>
      </c>
      <c r="K14" s="4">
        <v>152075</v>
      </c>
      <c r="L14" s="4">
        <f t="shared" si="4"/>
        <v>27373.5</v>
      </c>
      <c r="M14" s="4"/>
      <c r="N14" s="4"/>
      <c r="O14" s="7">
        <v>0.3</v>
      </c>
      <c r="P14" s="8">
        <f t="shared" si="0"/>
        <v>45622.5</v>
      </c>
      <c r="Q14" s="4"/>
      <c r="R14" s="8">
        <f t="shared" si="1"/>
        <v>0</v>
      </c>
      <c r="S14" s="4"/>
      <c r="T14" s="7"/>
      <c r="U14" s="8">
        <f t="shared" si="2"/>
        <v>0</v>
      </c>
      <c r="V14" s="4"/>
      <c r="W14" s="8">
        <f t="shared" si="5"/>
        <v>0</v>
      </c>
      <c r="X14" s="4"/>
      <c r="Y14" s="4"/>
      <c r="Z14" s="8">
        <f t="shared" si="6"/>
        <v>0</v>
      </c>
      <c r="AA14" s="4"/>
      <c r="AB14" s="8">
        <f t="shared" si="7"/>
        <v>0</v>
      </c>
      <c r="AC14" s="4"/>
      <c r="AD14" s="7"/>
      <c r="AE14" s="8">
        <f t="shared" si="8"/>
        <v>0</v>
      </c>
      <c r="AF14" s="4"/>
      <c r="AG14" s="8">
        <f t="shared" si="9"/>
        <v>0</v>
      </c>
      <c r="AH14" s="4"/>
      <c r="AI14" s="4">
        <v>0</v>
      </c>
      <c r="AJ14" s="8">
        <f t="shared" si="10"/>
        <v>0</v>
      </c>
      <c r="AK14" s="4"/>
      <c r="AL14" s="8">
        <f t="shared" si="3"/>
        <v>0</v>
      </c>
      <c r="AM14" s="4"/>
      <c r="AN14" s="11"/>
      <c r="AO14" s="8">
        <f t="shared" si="11"/>
        <v>0</v>
      </c>
    </row>
    <row r="15" spans="1:41" ht="25.5" x14ac:dyDescent="0.25">
      <c r="A15" s="4">
        <v>9</v>
      </c>
      <c r="B15" s="19">
        <v>45748</v>
      </c>
      <c r="C15" s="4" t="s">
        <v>59</v>
      </c>
      <c r="D15" s="4" t="s">
        <v>67</v>
      </c>
      <c r="E15" s="4" t="s">
        <v>29</v>
      </c>
      <c r="F15" s="10" t="s">
        <v>68</v>
      </c>
      <c r="G15" s="4">
        <v>4500008486</v>
      </c>
      <c r="H15" s="4" t="s">
        <v>53</v>
      </c>
      <c r="I15" s="4" t="s">
        <v>54</v>
      </c>
      <c r="J15" s="6">
        <v>45750</v>
      </c>
      <c r="K15" s="4">
        <v>103400</v>
      </c>
      <c r="L15" s="4">
        <f t="shared" si="4"/>
        <v>18612</v>
      </c>
      <c r="M15" s="6">
        <v>45759</v>
      </c>
      <c r="N15" s="6">
        <v>45759</v>
      </c>
      <c r="O15" s="4"/>
      <c r="P15" s="8">
        <f t="shared" si="0"/>
        <v>0</v>
      </c>
      <c r="Q15" s="4"/>
      <c r="R15" s="8">
        <f t="shared" si="1"/>
        <v>0</v>
      </c>
      <c r="S15" s="4"/>
      <c r="T15" s="7">
        <v>0.9</v>
      </c>
      <c r="U15" s="8">
        <f t="shared" si="2"/>
        <v>93060</v>
      </c>
      <c r="V15" s="4"/>
      <c r="W15" s="8">
        <f t="shared" si="5"/>
        <v>0</v>
      </c>
      <c r="X15" s="4"/>
      <c r="Y15" s="4"/>
      <c r="Z15" s="8">
        <f t="shared" si="6"/>
        <v>0</v>
      </c>
      <c r="AA15" s="4"/>
      <c r="AB15" s="8">
        <f t="shared" si="7"/>
        <v>0</v>
      </c>
      <c r="AC15" s="4"/>
      <c r="AD15" s="7"/>
      <c r="AE15" s="8">
        <f t="shared" si="8"/>
        <v>0</v>
      </c>
      <c r="AF15" s="4"/>
      <c r="AG15" s="8">
        <f t="shared" si="9"/>
        <v>0</v>
      </c>
      <c r="AH15" s="4"/>
      <c r="AI15" s="4">
        <v>0</v>
      </c>
      <c r="AJ15" s="8">
        <f t="shared" si="10"/>
        <v>0</v>
      </c>
      <c r="AK15" s="4"/>
      <c r="AL15" s="8">
        <f t="shared" si="3"/>
        <v>0</v>
      </c>
      <c r="AM15" s="4"/>
      <c r="AN15" s="11"/>
      <c r="AO15" s="8">
        <f t="shared" si="11"/>
        <v>0</v>
      </c>
    </row>
    <row r="16" spans="1:41" ht="25.5" x14ac:dyDescent="0.25">
      <c r="A16" s="4">
        <v>10</v>
      </c>
      <c r="B16" s="19">
        <v>45748</v>
      </c>
      <c r="C16" s="4" t="s">
        <v>59</v>
      </c>
      <c r="D16" s="4" t="s">
        <v>67</v>
      </c>
      <c r="E16" s="4" t="s">
        <v>29</v>
      </c>
      <c r="F16" s="10" t="s">
        <v>68</v>
      </c>
      <c r="G16" s="4">
        <v>4500008483</v>
      </c>
      <c r="H16" s="4" t="s">
        <v>53</v>
      </c>
      <c r="I16" s="4" t="s">
        <v>54</v>
      </c>
      <c r="J16" s="6">
        <v>45750</v>
      </c>
      <c r="K16" s="4">
        <v>132000</v>
      </c>
      <c r="L16" s="4">
        <f t="shared" si="4"/>
        <v>23760</v>
      </c>
      <c r="M16" s="6">
        <v>45759</v>
      </c>
      <c r="N16" s="6">
        <v>45759</v>
      </c>
      <c r="O16" s="4"/>
      <c r="P16" s="8">
        <f t="shared" si="0"/>
        <v>0</v>
      </c>
      <c r="Q16" s="4"/>
      <c r="R16" s="8">
        <f t="shared" si="1"/>
        <v>0</v>
      </c>
      <c r="S16" s="4"/>
      <c r="T16" s="7">
        <v>0.9</v>
      </c>
      <c r="U16" s="8">
        <f t="shared" si="2"/>
        <v>118800</v>
      </c>
      <c r="V16" s="4"/>
      <c r="W16" s="8">
        <f t="shared" si="5"/>
        <v>0</v>
      </c>
      <c r="X16" s="4"/>
      <c r="Y16" s="4"/>
      <c r="Z16" s="8">
        <f t="shared" si="6"/>
        <v>0</v>
      </c>
      <c r="AA16" s="4"/>
      <c r="AB16" s="8">
        <f t="shared" si="7"/>
        <v>0</v>
      </c>
      <c r="AC16" s="4"/>
      <c r="AD16" s="7"/>
      <c r="AE16" s="8">
        <f t="shared" si="8"/>
        <v>0</v>
      </c>
      <c r="AF16" s="4"/>
      <c r="AG16" s="8">
        <f t="shared" si="9"/>
        <v>0</v>
      </c>
      <c r="AH16" s="4"/>
      <c r="AI16" s="4">
        <v>0</v>
      </c>
      <c r="AJ16" s="8">
        <f t="shared" si="10"/>
        <v>0</v>
      </c>
      <c r="AK16" s="4"/>
      <c r="AL16" s="8">
        <f t="shared" si="3"/>
        <v>0</v>
      </c>
      <c r="AM16" s="4"/>
      <c r="AN16" s="11"/>
      <c r="AO16" s="8">
        <f t="shared" si="11"/>
        <v>0</v>
      </c>
    </row>
    <row r="17" spans="1:41" ht="25.5" x14ac:dyDescent="0.25">
      <c r="A17" s="4">
        <v>11</v>
      </c>
      <c r="B17" s="19">
        <v>45748</v>
      </c>
      <c r="C17" s="4" t="s">
        <v>82</v>
      </c>
      <c r="D17" s="4" t="s">
        <v>83</v>
      </c>
      <c r="E17" s="4" t="s">
        <v>29</v>
      </c>
      <c r="F17" s="10" t="s">
        <v>85</v>
      </c>
      <c r="G17" s="4" t="s">
        <v>84</v>
      </c>
      <c r="H17" s="4" t="s">
        <v>79</v>
      </c>
      <c r="I17" s="4" t="s">
        <v>54</v>
      </c>
      <c r="J17" s="6">
        <v>45775</v>
      </c>
      <c r="K17" s="4">
        <v>1063000</v>
      </c>
      <c r="L17" s="4">
        <f t="shared" si="4"/>
        <v>191340</v>
      </c>
      <c r="M17" s="6">
        <v>45776</v>
      </c>
      <c r="N17" s="6">
        <v>45788</v>
      </c>
      <c r="O17" s="7">
        <v>0.3</v>
      </c>
      <c r="P17" s="8">
        <f t="shared" si="0"/>
        <v>318900</v>
      </c>
      <c r="Q17" s="7">
        <v>0.27</v>
      </c>
      <c r="R17" s="8">
        <v>293400</v>
      </c>
      <c r="S17" s="4"/>
      <c r="T17" s="7">
        <v>0.6</v>
      </c>
      <c r="U17" s="8"/>
      <c r="V17" s="4"/>
      <c r="W17" s="8">
        <f t="shared" si="5"/>
        <v>0</v>
      </c>
      <c r="X17" s="4"/>
      <c r="Y17" s="4"/>
      <c r="Z17" s="8">
        <f t="shared" si="6"/>
        <v>0</v>
      </c>
      <c r="AA17" s="4"/>
      <c r="AB17" s="8">
        <f t="shared" si="7"/>
        <v>0</v>
      </c>
      <c r="AC17" s="4"/>
      <c r="AD17" s="7">
        <v>0.1</v>
      </c>
      <c r="AE17" s="8">
        <f t="shared" si="8"/>
        <v>106300</v>
      </c>
      <c r="AF17" s="4"/>
      <c r="AG17" s="8">
        <f t="shared" si="9"/>
        <v>0</v>
      </c>
      <c r="AH17" s="4"/>
      <c r="AI17" s="4">
        <v>0</v>
      </c>
      <c r="AJ17" s="8">
        <f t="shared" si="10"/>
        <v>0</v>
      </c>
      <c r="AK17" s="4"/>
      <c r="AL17" s="8">
        <f t="shared" si="3"/>
        <v>0</v>
      </c>
      <c r="AM17" s="4"/>
      <c r="AN17" s="11">
        <v>0.27</v>
      </c>
      <c r="AO17" s="8">
        <f t="shared" si="11"/>
        <v>293400</v>
      </c>
    </row>
    <row r="18" spans="1:41" ht="25.5" x14ac:dyDescent="0.25">
      <c r="A18" s="4">
        <v>12</v>
      </c>
      <c r="B18" s="21">
        <v>45778</v>
      </c>
      <c r="C18" s="4" t="s">
        <v>82</v>
      </c>
      <c r="D18" s="4" t="s">
        <v>71</v>
      </c>
      <c r="E18" s="4" t="s">
        <v>29</v>
      </c>
      <c r="F18" s="10" t="s">
        <v>86</v>
      </c>
      <c r="G18" s="4" t="s">
        <v>76</v>
      </c>
      <c r="H18" s="4" t="s">
        <v>78</v>
      </c>
      <c r="I18" s="4" t="s">
        <v>54</v>
      </c>
      <c r="J18" s="6">
        <v>45776</v>
      </c>
      <c r="K18" s="4">
        <v>4574999</v>
      </c>
      <c r="L18" s="4">
        <f t="shared" si="4"/>
        <v>823499.82</v>
      </c>
      <c r="M18" s="6">
        <v>45779</v>
      </c>
      <c r="N18" s="6">
        <v>45785</v>
      </c>
      <c r="O18" s="7">
        <v>0.4</v>
      </c>
      <c r="P18" s="8">
        <f t="shared" si="0"/>
        <v>1829999.6</v>
      </c>
      <c r="Q18" s="7">
        <v>0.4</v>
      </c>
      <c r="R18" s="8">
        <f t="shared" si="1"/>
        <v>1829999.6</v>
      </c>
      <c r="S18" s="4"/>
      <c r="T18" s="7">
        <v>0.5</v>
      </c>
      <c r="U18" s="8">
        <f t="shared" si="2"/>
        <v>2287499.5</v>
      </c>
      <c r="V18" s="4"/>
      <c r="W18" s="8">
        <f t="shared" si="5"/>
        <v>0</v>
      </c>
      <c r="X18" s="4"/>
      <c r="Y18" s="7"/>
      <c r="Z18" s="8">
        <f t="shared" si="6"/>
        <v>0</v>
      </c>
      <c r="AA18" s="4"/>
      <c r="AB18" s="8">
        <f t="shared" si="7"/>
        <v>0</v>
      </c>
      <c r="AC18" s="4"/>
      <c r="AD18" s="7">
        <v>0.1</v>
      </c>
      <c r="AE18" s="8">
        <f t="shared" si="8"/>
        <v>457499.9</v>
      </c>
      <c r="AF18" s="4"/>
      <c r="AG18" s="8">
        <f t="shared" si="9"/>
        <v>0</v>
      </c>
      <c r="AH18" s="4"/>
      <c r="AI18" s="4">
        <v>0</v>
      </c>
      <c r="AJ18" s="8">
        <f t="shared" si="10"/>
        <v>0</v>
      </c>
      <c r="AK18" s="4"/>
      <c r="AL18" s="8">
        <f t="shared" si="3"/>
        <v>0</v>
      </c>
      <c r="AM18" s="4"/>
      <c r="AN18" s="11">
        <v>0.4</v>
      </c>
      <c r="AO18" s="8">
        <f t="shared" si="11"/>
        <v>1829999.6</v>
      </c>
    </row>
    <row r="19" spans="1:41" x14ac:dyDescent="0.25">
      <c r="A19" s="4">
        <v>13</v>
      </c>
      <c r="B19" s="21">
        <v>45778</v>
      </c>
      <c r="C19" s="4" t="s">
        <v>82</v>
      </c>
      <c r="D19" s="4" t="s">
        <v>72</v>
      </c>
      <c r="E19" s="4" t="s">
        <v>29</v>
      </c>
      <c r="F19" s="4" t="s">
        <v>88</v>
      </c>
      <c r="G19" s="4" t="s">
        <v>77</v>
      </c>
      <c r="H19" s="4" t="s">
        <v>79</v>
      </c>
      <c r="I19" s="4" t="s">
        <v>54</v>
      </c>
      <c r="J19" s="6">
        <v>45783</v>
      </c>
      <c r="K19" s="4">
        <v>171000</v>
      </c>
      <c r="L19" s="4">
        <f t="shared" si="4"/>
        <v>30780</v>
      </c>
      <c r="M19" s="6">
        <v>45784</v>
      </c>
      <c r="N19" s="6" t="s">
        <v>98</v>
      </c>
      <c r="O19" s="7">
        <v>0.3</v>
      </c>
      <c r="P19" s="8">
        <f t="shared" si="0"/>
        <v>51300</v>
      </c>
      <c r="Q19" s="7">
        <v>0.3</v>
      </c>
      <c r="R19" s="8">
        <f t="shared" si="1"/>
        <v>51300</v>
      </c>
      <c r="S19" s="4"/>
      <c r="T19" s="7">
        <v>0.6</v>
      </c>
      <c r="U19" s="8">
        <f t="shared" si="2"/>
        <v>102600</v>
      </c>
      <c r="V19" s="4"/>
      <c r="W19" s="8"/>
      <c r="X19" s="4"/>
      <c r="Y19" s="7"/>
      <c r="Z19" s="8">
        <f t="shared" si="6"/>
        <v>0</v>
      </c>
      <c r="AA19" s="4"/>
      <c r="AB19" s="8"/>
      <c r="AC19" s="4"/>
      <c r="AD19" s="7">
        <v>0.1</v>
      </c>
      <c r="AE19" s="8">
        <f t="shared" si="8"/>
        <v>17100</v>
      </c>
      <c r="AF19" s="4"/>
      <c r="AG19" s="8"/>
      <c r="AH19" s="4"/>
      <c r="AI19" s="4">
        <v>0</v>
      </c>
      <c r="AJ19" s="8">
        <f t="shared" si="10"/>
        <v>0</v>
      </c>
      <c r="AK19" s="4"/>
      <c r="AL19" s="8">
        <f t="shared" si="3"/>
        <v>0</v>
      </c>
      <c r="AM19" s="4"/>
      <c r="AN19" s="11"/>
      <c r="AO19" s="8">
        <f t="shared" si="11"/>
        <v>51300</v>
      </c>
    </row>
    <row r="20" spans="1:41" x14ac:dyDescent="0.25">
      <c r="A20" s="4">
        <v>14</v>
      </c>
      <c r="B20" s="21">
        <v>45778</v>
      </c>
      <c r="C20" s="4" t="s">
        <v>59</v>
      </c>
      <c r="D20" s="4" t="s">
        <v>73</v>
      </c>
      <c r="E20" s="4" t="s">
        <v>29</v>
      </c>
      <c r="F20" s="10" t="s">
        <v>87</v>
      </c>
      <c r="G20" s="4" t="s">
        <v>81</v>
      </c>
      <c r="H20" s="4" t="s">
        <v>53</v>
      </c>
      <c r="I20" s="4" t="s">
        <v>54</v>
      </c>
      <c r="J20" s="6">
        <v>45785</v>
      </c>
      <c r="K20" s="4">
        <v>261300</v>
      </c>
      <c r="L20" s="4">
        <f t="shared" si="4"/>
        <v>47034</v>
      </c>
      <c r="M20" s="6"/>
      <c r="N20" s="6"/>
      <c r="O20" s="7">
        <v>0.5</v>
      </c>
      <c r="P20" s="8">
        <f t="shared" si="0"/>
        <v>130650</v>
      </c>
      <c r="Q20" s="7">
        <v>0.5</v>
      </c>
      <c r="R20" s="8">
        <f t="shared" si="1"/>
        <v>130650</v>
      </c>
      <c r="S20" s="4"/>
      <c r="T20" s="7">
        <v>0.4</v>
      </c>
      <c r="U20" s="8">
        <f t="shared" si="2"/>
        <v>104520</v>
      </c>
      <c r="V20" s="4"/>
      <c r="W20" s="8"/>
      <c r="X20" s="4"/>
      <c r="Y20" s="4"/>
      <c r="Z20" s="8">
        <f t="shared" si="6"/>
        <v>0</v>
      </c>
      <c r="AA20" s="4"/>
      <c r="AB20" s="8"/>
      <c r="AC20" s="4"/>
      <c r="AD20" s="7">
        <v>0.1</v>
      </c>
      <c r="AE20" s="8">
        <f t="shared" si="8"/>
        <v>26130</v>
      </c>
      <c r="AF20" s="4"/>
      <c r="AG20" s="8"/>
      <c r="AH20" s="4"/>
      <c r="AI20" s="4">
        <v>0</v>
      </c>
      <c r="AJ20" s="8">
        <f t="shared" si="10"/>
        <v>0</v>
      </c>
      <c r="AK20" s="4"/>
      <c r="AL20" s="8">
        <f t="shared" si="3"/>
        <v>0</v>
      </c>
      <c r="AM20" s="4"/>
      <c r="AN20" s="11"/>
      <c r="AO20" s="8">
        <f t="shared" si="11"/>
        <v>130650</v>
      </c>
    </row>
    <row r="21" spans="1:41" x14ac:dyDescent="0.25">
      <c r="A21" s="4">
        <v>15</v>
      </c>
      <c r="B21" s="21">
        <v>45778</v>
      </c>
      <c r="C21" s="4" t="s">
        <v>101</v>
      </c>
      <c r="D21" s="4" t="s">
        <v>74</v>
      </c>
      <c r="E21" s="4" t="s">
        <v>29</v>
      </c>
      <c r="F21" s="4" t="s">
        <v>89</v>
      </c>
      <c r="G21" s="4" t="s">
        <v>90</v>
      </c>
      <c r="H21" s="4" t="s">
        <v>80</v>
      </c>
      <c r="I21" s="4" t="s">
        <v>32</v>
      </c>
      <c r="J21" s="6">
        <v>45792</v>
      </c>
      <c r="K21" s="4">
        <v>1636250</v>
      </c>
      <c r="L21" s="4"/>
      <c r="M21" s="6">
        <v>45792</v>
      </c>
      <c r="N21" s="6">
        <v>45796</v>
      </c>
      <c r="O21" s="7">
        <v>0.25</v>
      </c>
      <c r="P21" s="8">
        <v>416000</v>
      </c>
      <c r="Q21" s="4"/>
      <c r="R21" s="8">
        <f t="shared" si="1"/>
        <v>0</v>
      </c>
      <c r="S21" s="4"/>
      <c r="T21" s="7">
        <v>0.25</v>
      </c>
      <c r="U21" s="8">
        <f t="shared" si="2"/>
        <v>409062.5</v>
      </c>
      <c r="V21" s="4"/>
      <c r="W21" s="8"/>
      <c r="X21" s="4"/>
      <c r="Y21" s="7">
        <v>0.5</v>
      </c>
      <c r="Z21" s="8">
        <f t="shared" si="6"/>
        <v>818125</v>
      </c>
      <c r="AA21" s="4"/>
      <c r="AB21" s="8"/>
      <c r="AC21" s="4"/>
      <c r="AD21" s="7"/>
      <c r="AE21" s="8">
        <f t="shared" si="8"/>
        <v>0</v>
      </c>
      <c r="AF21" s="4"/>
      <c r="AG21" s="8"/>
      <c r="AH21" s="4"/>
      <c r="AI21" s="4">
        <v>0</v>
      </c>
      <c r="AJ21" s="8">
        <f t="shared" si="10"/>
        <v>0</v>
      </c>
      <c r="AK21" s="4"/>
      <c r="AL21" s="8">
        <f t="shared" si="3"/>
        <v>0</v>
      </c>
      <c r="AM21" s="4"/>
      <c r="AN21" s="11"/>
      <c r="AO21" s="8">
        <f t="shared" si="11"/>
        <v>0</v>
      </c>
    </row>
    <row r="22" spans="1:41" x14ac:dyDescent="0.25">
      <c r="A22" s="4">
        <v>16</v>
      </c>
      <c r="B22" s="21">
        <v>45778</v>
      </c>
      <c r="C22" s="4" t="s">
        <v>82</v>
      </c>
      <c r="D22" s="4" t="s">
        <v>72</v>
      </c>
      <c r="E22" s="4" t="s">
        <v>29</v>
      </c>
      <c r="F22" s="4" t="s">
        <v>88</v>
      </c>
      <c r="G22" s="4" t="s">
        <v>75</v>
      </c>
      <c r="H22" s="4" t="s">
        <v>79</v>
      </c>
      <c r="I22" s="4" t="s">
        <v>54</v>
      </c>
      <c r="J22" s="6">
        <v>45786</v>
      </c>
      <c r="K22" s="4">
        <v>100000</v>
      </c>
      <c r="L22" s="4">
        <f t="shared" si="4"/>
        <v>18000</v>
      </c>
      <c r="M22" s="6"/>
      <c r="N22" s="6"/>
      <c r="O22" s="7">
        <v>0.3</v>
      </c>
      <c r="P22" s="8">
        <f t="shared" si="0"/>
        <v>30000</v>
      </c>
      <c r="Q22" s="7">
        <v>0.3</v>
      </c>
      <c r="R22" s="8">
        <f t="shared" si="1"/>
        <v>30000</v>
      </c>
      <c r="S22" s="4"/>
      <c r="T22" s="7">
        <v>0.6</v>
      </c>
      <c r="U22" s="8">
        <f t="shared" si="2"/>
        <v>60000</v>
      </c>
      <c r="V22" s="4"/>
      <c r="W22" s="8"/>
      <c r="X22" s="4"/>
      <c r="Y22" s="4"/>
      <c r="Z22" s="8">
        <f t="shared" si="6"/>
        <v>0</v>
      </c>
      <c r="AA22" s="4"/>
      <c r="AB22" s="8"/>
      <c r="AC22" s="4"/>
      <c r="AD22" s="7">
        <v>0.1</v>
      </c>
      <c r="AE22" s="8">
        <f t="shared" si="8"/>
        <v>10000</v>
      </c>
      <c r="AF22" s="4"/>
      <c r="AG22" s="8"/>
      <c r="AH22" s="4"/>
      <c r="AI22" s="4">
        <v>0</v>
      </c>
      <c r="AJ22" s="8">
        <f t="shared" si="10"/>
        <v>0</v>
      </c>
      <c r="AK22" s="4"/>
      <c r="AL22" s="8">
        <f t="shared" si="3"/>
        <v>0</v>
      </c>
      <c r="AM22" s="4"/>
      <c r="AN22" s="11"/>
      <c r="AO22" s="8">
        <f t="shared" si="11"/>
        <v>30000</v>
      </c>
    </row>
    <row r="23" spans="1:41" ht="38.25" x14ac:dyDescent="0.25">
      <c r="A23" s="4">
        <v>17</v>
      </c>
      <c r="B23" s="21">
        <v>45778</v>
      </c>
      <c r="C23" s="4" t="s">
        <v>59</v>
      </c>
      <c r="D23" s="4" t="s">
        <v>91</v>
      </c>
      <c r="E23" s="4" t="s">
        <v>29</v>
      </c>
      <c r="F23" s="10" t="s">
        <v>99</v>
      </c>
      <c r="G23" s="4">
        <v>44</v>
      </c>
      <c r="H23" s="4" t="s">
        <v>100</v>
      </c>
      <c r="I23" s="4" t="s">
        <v>54</v>
      </c>
      <c r="J23" s="6">
        <v>45793</v>
      </c>
      <c r="K23" s="4">
        <v>1843820</v>
      </c>
      <c r="L23" s="4">
        <f t="shared" si="4"/>
        <v>331887.59999999998</v>
      </c>
      <c r="M23" s="6">
        <v>45795</v>
      </c>
      <c r="N23" s="6">
        <v>45803</v>
      </c>
      <c r="O23" s="7">
        <v>0.3</v>
      </c>
      <c r="P23" s="8">
        <f t="shared" si="0"/>
        <v>553146</v>
      </c>
      <c r="Q23" s="7">
        <v>0.3</v>
      </c>
      <c r="R23" s="8">
        <f t="shared" si="1"/>
        <v>553146</v>
      </c>
      <c r="S23" s="20">
        <v>45803</v>
      </c>
      <c r="T23" s="7">
        <v>0.6</v>
      </c>
      <c r="U23" s="8">
        <f t="shared" si="2"/>
        <v>1106292</v>
      </c>
      <c r="V23" s="4"/>
      <c r="W23" s="8"/>
      <c r="X23" s="4"/>
      <c r="Y23" s="4"/>
      <c r="Z23" s="8">
        <f t="shared" si="6"/>
        <v>0</v>
      </c>
      <c r="AA23" s="4"/>
      <c r="AB23" s="8"/>
      <c r="AC23" s="4"/>
      <c r="AD23" s="4"/>
      <c r="AE23" s="8">
        <f t="shared" si="8"/>
        <v>0</v>
      </c>
      <c r="AF23" s="4"/>
      <c r="AG23" s="8"/>
      <c r="AH23" s="4"/>
      <c r="AI23" s="7">
        <v>0.2</v>
      </c>
      <c r="AJ23" s="8">
        <f t="shared" si="10"/>
        <v>368764</v>
      </c>
      <c r="AK23" s="7"/>
      <c r="AL23" s="8">
        <f t="shared" si="3"/>
        <v>0</v>
      </c>
      <c r="AM23" s="6"/>
      <c r="AN23" s="11">
        <v>0.3</v>
      </c>
      <c r="AO23" s="8">
        <f t="shared" si="11"/>
        <v>553146</v>
      </c>
    </row>
    <row r="24" spans="1:41" x14ac:dyDescent="0.25">
      <c r="A24" s="4">
        <v>18</v>
      </c>
      <c r="B24" s="21">
        <v>45778</v>
      </c>
      <c r="C24" s="4" t="s">
        <v>27</v>
      </c>
      <c r="D24" s="4" t="s">
        <v>92</v>
      </c>
      <c r="E24" s="4" t="s">
        <v>29</v>
      </c>
      <c r="F24" s="4" t="s">
        <v>93</v>
      </c>
      <c r="G24" s="4">
        <v>2142502143</v>
      </c>
      <c r="H24" s="4" t="s">
        <v>94</v>
      </c>
      <c r="I24" s="4" t="s">
        <v>32</v>
      </c>
      <c r="J24" s="4"/>
      <c r="K24" s="4">
        <v>225938</v>
      </c>
      <c r="L24" s="4">
        <f t="shared" si="4"/>
        <v>40668.839999999997</v>
      </c>
      <c r="M24" s="4"/>
      <c r="N24" s="6">
        <v>45793</v>
      </c>
      <c r="O24" s="4"/>
      <c r="P24" s="8">
        <f t="shared" si="0"/>
        <v>0</v>
      </c>
      <c r="Q24" s="4"/>
      <c r="R24" s="8"/>
      <c r="S24" s="4"/>
      <c r="T24" s="4"/>
      <c r="U24" s="8">
        <f t="shared" si="2"/>
        <v>0</v>
      </c>
      <c r="V24" s="4"/>
      <c r="W24" s="8"/>
      <c r="X24" s="4"/>
      <c r="Y24" s="4">
        <v>225938</v>
      </c>
      <c r="Z24" s="11">
        <v>1</v>
      </c>
      <c r="AA24" s="4"/>
      <c r="AB24" s="8"/>
      <c r="AC24" s="4"/>
      <c r="AD24" s="4"/>
      <c r="AE24" s="8">
        <f t="shared" si="8"/>
        <v>0</v>
      </c>
      <c r="AF24" s="4"/>
      <c r="AG24" s="8"/>
      <c r="AH24" s="4"/>
      <c r="AI24" s="4"/>
      <c r="AJ24" s="8"/>
      <c r="AK24" s="4"/>
      <c r="AL24" s="8"/>
      <c r="AM24" s="4"/>
      <c r="AN24" s="11"/>
      <c r="AO24" s="8"/>
    </row>
    <row r="25" spans="1:41" ht="25.5" x14ac:dyDescent="0.25">
      <c r="A25" s="4">
        <v>19</v>
      </c>
      <c r="B25" s="21">
        <v>45778</v>
      </c>
      <c r="C25" s="4" t="s">
        <v>27</v>
      </c>
      <c r="D25" s="4" t="s">
        <v>43</v>
      </c>
      <c r="E25" s="4" t="s">
        <v>29</v>
      </c>
      <c r="F25" s="10" t="s">
        <v>95</v>
      </c>
      <c r="G25" s="4" t="s">
        <v>97</v>
      </c>
      <c r="H25" s="4" t="s">
        <v>96</v>
      </c>
      <c r="I25" s="4" t="s">
        <v>32</v>
      </c>
      <c r="J25" s="6">
        <v>45799</v>
      </c>
      <c r="K25" s="4">
        <v>175000</v>
      </c>
      <c r="L25" s="4">
        <f t="shared" si="4"/>
        <v>31500</v>
      </c>
      <c r="M25" s="6">
        <v>45799</v>
      </c>
      <c r="N25" s="6"/>
      <c r="O25" s="7">
        <v>0.5</v>
      </c>
      <c r="P25" s="8">
        <f t="shared" si="0"/>
        <v>87500</v>
      </c>
      <c r="Q25" s="4"/>
      <c r="R25" s="8"/>
      <c r="S25" s="4"/>
      <c r="T25" s="7">
        <v>0.4</v>
      </c>
      <c r="U25" s="8">
        <f t="shared" si="2"/>
        <v>70000</v>
      </c>
      <c r="V25" s="4"/>
      <c r="W25" s="8"/>
      <c r="X25" s="4"/>
      <c r="Y25" s="4"/>
      <c r="Z25" s="11">
        <v>0</v>
      </c>
      <c r="AA25" s="4"/>
      <c r="AB25" s="8"/>
      <c r="AC25" s="4"/>
      <c r="AD25" s="7">
        <v>0.1</v>
      </c>
      <c r="AE25" s="8">
        <f t="shared" si="8"/>
        <v>17500</v>
      </c>
      <c r="AF25" s="4"/>
      <c r="AG25" s="8"/>
      <c r="AH25" s="4"/>
      <c r="AI25" s="4"/>
      <c r="AJ25" s="8"/>
      <c r="AK25" s="4"/>
      <c r="AL25" s="8"/>
      <c r="AM25" s="4"/>
      <c r="AN25" s="11"/>
      <c r="AO25" s="8"/>
    </row>
    <row r="26" spans="1:41" x14ac:dyDescent="0.25">
      <c r="A26" s="4">
        <v>20</v>
      </c>
      <c r="B26" s="21">
        <v>45778</v>
      </c>
      <c r="C26" s="4" t="s">
        <v>101</v>
      </c>
      <c r="D26" s="4" t="s">
        <v>102</v>
      </c>
      <c r="E26" s="4" t="s">
        <v>29</v>
      </c>
      <c r="F26" s="4" t="s">
        <v>103</v>
      </c>
      <c r="G26" s="4"/>
      <c r="H26" s="4" t="s">
        <v>80</v>
      </c>
      <c r="I26" s="4" t="s">
        <v>32</v>
      </c>
      <c r="J26" s="20">
        <v>45805</v>
      </c>
      <c r="K26" s="4">
        <v>2409750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1" x14ac:dyDescent="0.25">
      <c r="K27" s="1">
        <f>SUM(K7:K26)</f>
        <v>16368272</v>
      </c>
    </row>
  </sheetData>
  <mergeCells count="32">
    <mergeCell ref="AN3:AO3"/>
    <mergeCell ref="AN2:AO2"/>
    <mergeCell ref="O3:P3"/>
    <mergeCell ref="Q3:S3"/>
    <mergeCell ref="T3:U3"/>
    <mergeCell ref="V3:X3"/>
    <mergeCell ref="Y3:Z3"/>
    <mergeCell ref="AA3:AC3"/>
    <mergeCell ref="AD3:AE3"/>
    <mergeCell ref="AF3:AH3"/>
    <mergeCell ref="AI3:AJ3"/>
    <mergeCell ref="M1:M4"/>
    <mergeCell ref="N1:N4"/>
    <mergeCell ref="O1:AM1"/>
    <mergeCell ref="O2:S2"/>
    <mergeCell ref="T2:X2"/>
    <mergeCell ref="Y2:AC2"/>
    <mergeCell ref="AD2:AH2"/>
    <mergeCell ref="AI2:AM2"/>
    <mergeCell ref="AK3:AM3"/>
    <mergeCell ref="L1:L4"/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5" x14ac:dyDescent="0.25"/>
  <cols>
    <col min="2" max="2" width="34.7109375" bestFit="1" customWidth="1"/>
  </cols>
  <sheetData>
    <row r="1" spans="1:2" x14ac:dyDescent="0.25">
      <c r="A1" s="9"/>
      <c r="B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Details</vt:lpstr>
      <vt:lpstr>Sheet1</vt:lpstr>
      <vt:lpstr>Legends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A. Badgujar</dc:creator>
  <cp:lastModifiedBy>SUVARNA PALDE</cp:lastModifiedBy>
  <dcterms:created xsi:type="dcterms:W3CDTF">2025-04-12T05:00:18Z</dcterms:created>
  <dcterms:modified xsi:type="dcterms:W3CDTF">2025-09-04T12:22:23Z</dcterms:modified>
</cp:coreProperties>
</file>